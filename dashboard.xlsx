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iT\OneDrive - Faculty Of Commerce (Tanta University)\Documents\Ahmed Ali Diploma\"/>
    </mc:Choice>
  </mc:AlternateContent>
  <xr:revisionPtr revIDLastSave="0" documentId="8_{5D5483F2-6F49-4D8A-BC17-2F270BBE4271}" xr6:coauthVersionLast="47" xr6:coauthVersionMax="47" xr10:uidLastSave="{00000000-0000-0000-0000-000000000000}"/>
  <bookViews>
    <workbookView xWindow="-108" yWindow="-108" windowWidth="23256" windowHeight="12720" xr2:uid="{9AB1EAC0-285C-4F5D-A3EE-2D236458741B}"/>
  </bookViews>
  <sheets>
    <sheet name="Sheet1" sheetId="1" r:id="rId1"/>
    <sheet name="Sheet2" sheetId="2" r:id="rId2"/>
  </sheets>
  <definedNames>
    <definedName name="Slicer_Country">#N/A</definedName>
    <definedName name="Slicer_Date_Hierarchy">#N/A</definedName>
    <definedName name="Slicer_Item_Name">#N/A</definedName>
  </definedNames>
  <calcPr calcId="191029"/>
  <pivotCaches>
    <pivotCache cacheId="6" r:id="rId3"/>
    <pivotCache cacheId="7" r:id="rId4"/>
    <pivotCache cacheId="8" r:id="rId5"/>
    <pivotCache cacheId="9" r:id="rId6"/>
    <pivotCache cacheId="10" r:id="rId7"/>
  </pivotCaches>
  <extLst>
    <ext xmlns:x14="http://schemas.microsoft.com/office/spreadsheetml/2009/9/main" uri="{876F7934-8845-4945-9796-88D515C7AA90}">
      <x14:pivotCaches>
        <pivotCache cacheId="11"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45262e83-baa8-418f-9c41-98221f7813dd" name="sales" connection="Query - sales"/>
          <x15:modelTable id="Customer Data_3297de51-08bf-4e44-89fe-d61306cae29a" name="Customer Data" connection="Query - Customer Data"/>
          <x15:modelTable id="Price List_b65a45af-eba1-4301-96fa-a29699ded484" name="Price List" connection="Query - Price List"/>
          <x15:modelTable id="Item Cost_d3133a87-ee7e-4e77-b70b-a52ceca0e712" name="Item Cost" connection="Query - Item Cost"/>
          <x15:modelTable id="Total Targets 4 Years_ede4b684-d6c8-48fe-a302-568c562f62bd" name="Total Targets 4 Years" connection="Query - Total Targets 4 Years"/>
          <x15:modelTable id="Calendar" name="Calendar" connection="Connection"/>
        </x15:modelTables>
        <x15:modelRelationships>
          <x15:modelRelationship fromTable="sales" fromColumn="Date" toTable="Calendar" toColumn="Date"/>
          <x15:modelRelationship fromTable="sales" fromColumn="Item Code" toTable="Price List" toColumn="Item Code"/>
          <x15:modelRelationship fromTable="sales" fromColumn="Customer ID" toTable="Customer Data" toColumn="Customer ID"/>
          <x15:modelRelationship fromTable="Price List" fromColumn="Item Code" toTable="Item Cost" toColumn="Item Code"/>
          <x15:modelRelationship fromTable="Total Targets 4 Years" fromColumn="Customer ID" toTable="Customer Data"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D2" i="2"/>
  <c r="J2" i="2"/>
  <c r="I2" i="2"/>
  <c r="H2" i="2"/>
  <c r="G2"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6B4A4-24B1-4FD6-ADA0-2B20D1A746FF}" name="Connection" type="104" refreshedVersion="0" background="1">
    <extLst>
      <ext xmlns:x15="http://schemas.microsoft.com/office/spreadsheetml/2010/11/main" uri="{DE250136-89BD-433C-8126-D09CA5730AF9}">
        <x15:connection id="Calendar"/>
      </ext>
    </extLst>
  </connection>
  <connection id="2" xr16:uid="{FBDC2280-BDAD-4F06-85E1-F5007B3017A7}" name="Query - Customer Data" description="Connection to the 'Customer Data' query in the workbook." type="100" refreshedVersion="8" minRefreshableVersion="5">
    <extLst>
      <ext xmlns:x15="http://schemas.microsoft.com/office/spreadsheetml/2010/11/main" uri="{DE250136-89BD-433C-8126-D09CA5730AF9}">
        <x15:connection id="9587af37-63f8-4162-b9f8-2f76e05a3f37">
          <x15:oledbPr connection="Provider=Microsoft.Mashup.OleDb.1;Data Source=$Workbook$;Location=&quot;Customer Data&quot;;Extended Properties=&quot;&quot;">
            <x15:dbTables>
              <x15:dbTable name="Customer Data"/>
            </x15:dbTables>
          </x15:oledbPr>
        </x15:connection>
      </ext>
    </extLst>
  </connection>
  <connection id="3" xr16:uid="{0835A681-8F69-4713-983F-249F099E3404}" name="Query - Item Cost" description="Connection to the 'Item Cost' query in the workbook." type="100" refreshedVersion="8" minRefreshableVersion="5">
    <extLst>
      <ext xmlns:x15="http://schemas.microsoft.com/office/spreadsheetml/2010/11/main" uri="{DE250136-89BD-433C-8126-D09CA5730AF9}">
        <x15:connection id="659f898b-02b4-4c23-8fb4-39502e3f5161">
          <x15:oledbPr connection="Provider=Microsoft.Mashup.OleDb.1;Data Source=$Workbook$;Location=&quot;Item Cost&quot;;Extended Properties=&quot;&quot;">
            <x15:dbTables>
              <x15:dbTable name="Item Cost"/>
            </x15:dbTables>
          </x15:oledbPr>
        </x15:connection>
      </ext>
    </extLst>
  </connection>
  <connection id="4" xr16:uid="{D22F9EF9-CC92-4AC6-A874-CBE0E5AF91F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C8718660-F336-4499-86A1-EE4EA7F3190E}"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6" xr16:uid="{DC5BE14C-6A0E-43D0-B493-A2306B7B5B21}" name="Query - Price List" description="Connection to the 'Price List' query in the workbook." type="100" refreshedVersion="8" minRefreshableVersion="5">
    <extLst>
      <ext xmlns:x15="http://schemas.microsoft.com/office/spreadsheetml/2010/11/main" uri="{DE250136-89BD-433C-8126-D09CA5730AF9}">
        <x15:connection id="6d69edca-3bed-429c-b7d5-f2c1ff0d2975">
          <x15:oledbPr connection="Provider=Microsoft.Mashup.OleDb.1;Data Source=$Workbook$;Location=&quot;Price List&quot;;Extended Properties=&quot;&quot;">
            <x15:dbTables>
              <x15:dbTable name="Price List"/>
            </x15:dbTables>
          </x15:oledbPr>
        </x15:connection>
      </ext>
    </extLst>
  </connection>
  <connection id="7" xr16:uid="{BA81ECC2-BFA6-403C-B8B1-FAAF8D832246}" name="Query - sales" description="Connection to the 'sales' query in the workbook." type="100" refreshedVersion="8" minRefreshableVersion="5">
    <extLst>
      <ext xmlns:x15="http://schemas.microsoft.com/office/spreadsheetml/2010/11/main" uri="{DE250136-89BD-433C-8126-D09CA5730AF9}">
        <x15:connection id="8cd4ae34-c802-4a9d-b865-341b451f3eed"/>
      </ext>
    </extLst>
  </connection>
  <connection id="8" xr16:uid="{1BCB969E-2F1E-47CB-8775-89D6F52569F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9" xr16:uid="{DCEA13A9-A31E-4E89-950D-20951D7A4483}"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0" xr16:uid="{630863A2-FFEB-4E30-8AD9-1DCCF33E312E}" name="Query - Total Targets 4 Years" description="Connection to the 'Total Targets 4 Years' query in the workbook." type="100" refreshedVersion="8" minRefreshableVersion="5">
    <extLst>
      <ext xmlns:x15="http://schemas.microsoft.com/office/spreadsheetml/2010/11/main" uri="{DE250136-89BD-433C-8126-D09CA5730AF9}">
        <x15:connection id="c477f53c-a08f-4158-9276-ae55d40909d7">
          <x15:oledbPr connection="Provider=Microsoft.Mashup.OleDb.1;Data Source=$Workbook$;Location=&quot;Total Targets 4 Years&quot;;Extended Properties=&quot;&quot;">
            <x15:dbTables>
              <x15:dbTable name="Total Targets 4 Years"/>
            </x15:dbTables>
          </x15:oledbPr>
        </x15:connection>
      </ext>
    </extLst>
  </connection>
  <connection id="11" xr16:uid="{F203EAA4-4A28-4EDE-910A-659C1877C77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D3209D20-E838-4EF2-8039-33ED295D9748}"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3" xr16:uid="{25EABAF2-AA9F-4A84-817D-8B5D7556845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7632AFD7-5685-4A2E-A60B-51DAAC314C85}"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5" xr16:uid="{9A531FA6-2E38-4C9C-8704-29C75A0AF9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<sst xmlns="http://schemas.openxmlformats.org/spreadsheetml/2006/main" count="72" uniqueCount="58">
  <si>
    <t>net amount</t>
  </si>
  <si>
    <t>from</t>
  </si>
  <si>
    <t>To</t>
  </si>
  <si>
    <t>total cost</t>
  </si>
  <si>
    <t>profit</t>
  </si>
  <si>
    <t>margine</t>
  </si>
  <si>
    <t>sply</t>
  </si>
  <si>
    <t>Gross rate</t>
  </si>
  <si>
    <t>total qty</t>
  </si>
  <si>
    <t>Top Product</t>
  </si>
  <si>
    <t>HP - 14" Core i7</t>
  </si>
  <si>
    <t>Grand Total</t>
  </si>
  <si>
    <t>Row Labels</t>
  </si>
  <si>
    <t>Air Conditioners</t>
  </si>
  <si>
    <t>Home Appliances</t>
  </si>
  <si>
    <t>Laptops</t>
  </si>
  <si>
    <t>Mobiles</t>
  </si>
  <si>
    <t>Abaza shopping center</t>
  </si>
  <si>
    <t>Active Identity</t>
  </si>
  <si>
    <t>Al-Taqwa For Export</t>
  </si>
  <si>
    <t>AMC Trade</t>
  </si>
  <si>
    <t>Barbary Group</t>
  </si>
  <si>
    <t>Classic &amp; Modern</t>
  </si>
  <si>
    <t>Cook &amp; go</t>
  </si>
  <si>
    <t>El Nasr Group</t>
  </si>
  <si>
    <t>Electric Machines</t>
  </si>
  <si>
    <t>El-Nour Mall</t>
  </si>
  <si>
    <t>Family life trade</t>
  </si>
  <si>
    <t>Gravity &amp; Mixeur</t>
  </si>
  <si>
    <t>Hindawi Trading</t>
  </si>
  <si>
    <t>HKN Trading</t>
  </si>
  <si>
    <t>IPO Magix</t>
  </si>
  <si>
    <t>Life is easy</t>
  </si>
  <si>
    <t>Middle East Trading</t>
  </si>
  <si>
    <t>MK Infinity</t>
  </si>
  <si>
    <t>Modern tec</t>
  </si>
  <si>
    <t>Nile International Trade</t>
  </si>
  <si>
    <t>PK Trade</t>
  </si>
  <si>
    <t>Quantum Trading</t>
  </si>
  <si>
    <t>Ready To Cook</t>
  </si>
  <si>
    <t>Safe Home</t>
  </si>
  <si>
    <t>The Local Agent</t>
  </si>
  <si>
    <t>Trendy for trade</t>
  </si>
  <si>
    <t>TRN Tec</t>
  </si>
  <si>
    <t>Turkish kitchen</t>
  </si>
  <si>
    <t>Unique Brand</t>
  </si>
  <si>
    <t>Zul Trading</t>
  </si>
  <si>
    <t>Sum of target</t>
  </si>
  <si>
    <t>E-Commerce</t>
  </si>
  <si>
    <t>Key Accounts</t>
  </si>
  <si>
    <t>Retail</t>
  </si>
  <si>
    <t>Whole Sales</t>
  </si>
  <si>
    <t>Sales Dashboad</t>
  </si>
  <si>
    <t>From</t>
  </si>
  <si>
    <t>Total QYT</t>
  </si>
  <si>
    <t>Total Sales</t>
  </si>
  <si>
    <t>Total Profit</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</si>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</sst>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3" x14ac:knownFonts="1">
    <font>
      <sz val="11"/>
      <color theme="1"/>
      <name val="Aptos Narrow"/>
      <family val="2"/>
      <scheme val="minor"/>
    </font>
    <font>
      <b/>
      <sz val="14"/>
      <color theme="0"/>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5">
    <xf numFmtId="0" fontId="0" fillId="0" borderId="0" xfId="0"/>
    <xf numFmtId="3"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2" fillId="2" borderId="0" xfId="0" applyFont="1" applyFill="1" applyAlignment="1">
      <alignment horizontal="center"/>
    </xf>
    <xf numFmtId="0" fontId="0" fillId="3" borderId="0" xfId="0" applyFill="1"/>
    <xf numFmtId="14" fontId="0" fillId="3" borderId="0" xfId="0" applyNumberFormat="1" applyFill="1" applyAlignment="1">
      <alignment horizontal="center" vertical="center"/>
    </xf>
    <xf numFmtId="3" fontId="0" fillId="3" borderId="0" xfId="0" applyNumberFormat="1" applyFill="1" applyAlignment="1">
      <alignment horizontal="center"/>
    </xf>
    <xf numFmtId="3" fontId="0" fillId="3" borderId="0" xfId="0" applyNumberFormat="1" applyFill="1"/>
    <xf numFmtId="164" fontId="0" fillId="3" borderId="0" xfId="0" applyNumberForma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6"/>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sz="1400" b="0" i="0" u="none" strike="noStrike" baseline="0">
                <a:solidFill>
                  <a:srgbClr val="00B050"/>
                </a:solidFill>
              </a:rPr>
              <a:t>Sales Trend and Gross Rate by Year</a:t>
            </a:r>
            <a:endParaRPr lang="en-US">
              <a:solidFill>
                <a:srgbClr val="00B050"/>
              </a:solidFill>
            </a:endParaRPr>
          </a:p>
        </c:rich>
      </c:tx>
      <c:layout>
        <c:manualLayout>
          <c:xMode val="edge"/>
          <c:yMode val="edge"/>
          <c:x val="0.18842478606531962"/>
          <c:y val="9.7850695930167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circle"/>
          <c:size val="5"/>
          <c:spPr>
            <a:solidFill>
              <a:schemeClr val="accent3"/>
            </a:solidFill>
            <a:ln w="9525">
              <a:solidFill>
                <a:schemeClr val="accent3"/>
              </a:solidFill>
            </a:ln>
            <a:effectLst/>
          </c:spPr>
        </c:marker>
        <c:dLbl>
          <c:idx val="0"/>
          <c:layout>
            <c:manualLayout>
              <c:x val="-1.111111111111111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circle"/>
          <c:size val="5"/>
          <c:spPr>
            <a:solidFill>
              <a:schemeClr val="accent3"/>
            </a:solidFill>
            <a:ln w="9525">
              <a:solidFill>
                <a:schemeClr val="accent3"/>
              </a:solidFill>
            </a:ln>
            <a:effectLst/>
          </c:spPr>
        </c:marker>
        <c:dLbl>
          <c:idx val="0"/>
          <c:layout>
            <c:manualLayout>
              <c:x val="-5.5555555555555552E-2"/>
              <c:y val="-0.10185185185185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net amount</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Sheet1!$A$6:$A$10</c:f>
              <c:strCache>
                <c:ptCount val="4"/>
                <c:pt idx="0">
                  <c:v>2019</c:v>
                </c:pt>
                <c:pt idx="1">
                  <c:v>2020</c:v>
                </c:pt>
                <c:pt idx="2">
                  <c:v>2021</c:v>
                </c:pt>
                <c:pt idx="3">
                  <c:v>2022</c:v>
                </c:pt>
              </c:strCache>
            </c:strRef>
          </c:cat>
          <c:val>
            <c:numRef>
              <c:f>Sheet1!$B$6:$B$10</c:f>
              <c:numCache>
                <c:formatCode>#,##0</c:formatCode>
                <c:ptCount val="4"/>
                <c:pt idx="0">
                  <c:v>71362809</c:v>
                </c:pt>
                <c:pt idx="1">
                  <c:v>85420938</c:v>
                </c:pt>
                <c:pt idx="2">
                  <c:v>83202624</c:v>
                </c:pt>
                <c:pt idx="3">
                  <c:v>100869948</c:v>
                </c:pt>
              </c:numCache>
            </c:numRef>
          </c:val>
          <c:extLst>
            <c:ext xmlns:c16="http://schemas.microsoft.com/office/drawing/2014/chart" uri="{C3380CC4-5D6E-409C-BE32-E72D297353CC}">
              <c16:uniqueId val="{00000000-B2AF-4D92-B5FC-976F64A39D3D}"/>
            </c:ext>
          </c:extLst>
        </c:ser>
        <c:dLbls>
          <c:dLblPos val="outEnd"/>
          <c:showLegendKey val="0"/>
          <c:showVal val="1"/>
          <c:showCatName val="0"/>
          <c:showSerName val="0"/>
          <c:showPercent val="0"/>
          <c:showBubbleSize val="0"/>
        </c:dLbls>
        <c:gapWidth val="219"/>
        <c:overlap val="-27"/>
        <c:axId val="828140976"/>
        <c:axId val="828142896"/>
      </c:barChart>
      <c:lineChart>
        <c:grouping val="standard"/>
        <c:varyColors val="0"/>
        <c:ser>
          <c:idx val="1"/>
          <c:order val="1"/>
          <c:tx>
            <c:strRef>
              <c:f>Sheet1!$C$5</c:f>
              <c:strCache>
                <c:ptCount val="1"/>
                <c:pt idx="0">
                  <c:v>Gross rate</c:v>
                </c:pt>
              </c:strCache>
            </c:strRef>
          </c:tx>
          <c:spPr>
            <a:ln w="28575" cap="rnd">
              <a:solidFill>
                <a:srgbClr val="00B050"/>
              </a:solidFill>
              <a:round/>
            </a:ln>
            <a:effectLst/>
          </c:spPr>
          <c:marker>
            <c:symbol val="circle"/>
            <c:size val="5"/>
            <c:spPr>
              <a:solidFill>
                <a:schemeClr val="accent3"/>
              </a:solidFill>
              <a:ln w="9525">
                <a:solidFill>
                  <a:schemeClr val="accent3"/>
                </a:solidFill>
              </a:ln>
              <a:effectLst/>
            </c:spPr>
          </c:marker>
          <c:dPt>
            <c:idx val="1"/>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2-B2AF-4D92-B5FC-976F64A39D3D}"/>
              </c:ext>
            </c:extLst>
          </c:dPt>
          <c:dPt>
            <c:idx val="3"/>
            <c:marker>
              <c:symbol val="circle"/>
              <c:size val="5"/>
              <c:spPr>
                <a:solidFill>
                  <a:schemeClr val="accent3"/>
                </a:solidFill>
                <a:ln w="9525">
                  <a:solidFill>
                    <a:schemeClr val="accent3"/>
                  </a:solidFill>
                </a:ln>
                <a:effectLst/>
              </c:spPr>
            </c:marker>
            <c:bubble3D val="0"/>
            <c:extLst>
              <c:ext xmlns:c16="http://schemas.microsoft.com/office/drawing/2014/chart" uri="{C3380CC4-5D6E-409C-BE32-E72D297353CC}">
                <c16:uniqueId val="{00000003-B2AF-4D92-B5FC-976F64A39D3D}"/>
              </c:ext>
            </c:extLst>
          </c:dPt>
          <c:dLbls>
            <c:dLbl>
              <c:idx val="1"/>
              <c:layout>
                <c:manualLayout>
                  <c:x val="-1.111111111111111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AF-4D92-B5FC-976F64A39D3D}"/>
                </c:ext>
              </c:extLst>
            </c:dLbl>
            <c:dLbl>
              <c:idx val="3"/>
              <c:layout>
                <c:manualLayout>
                  <c:x val="-5.5555555555555552E-2"/>
                  <c:y val="-0.10185185185185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AF-4D92-B5FC-976F64A39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Sheet1!$A$6:$A$10</c:f>
              <c:strCache>
                <c:ptCount val="4"/>
                <c:pt idx="0">
                  <c:v>2019</c:v>
                </c:pt>
                <c:pt idx="1">
                  <c:v>2020</c:v>
                </c:pt>
                <c:pt idx="2">
                  <c:v>2021</c:v>
                </c:pt>
                <c:pt idx="3">
                  <c:v>2022</c:v>
                </c:pt>
              </c:strCache>
            </c:strRef>
          </c:cat>
          <c:val>
            <c:numRef>
              <c:f>Sheet1!$C$6:$C$10</c:f>
              <c:numCache>
                <c:formatCode>#,##0.00%;\-#,##0.00%;#,##0.00%</c:formatCode>
                <c:ptCount val="4"/>
                <c:pt idx="1">
                  <c:v>0.19699517433513583</c:v>
                </c:pt>
                <c:pt idx="2">
                  <c:v>-2.5969206753501114E-2</c:v>
                </c:pt>
                <c:pt idx="3">
                  <c:v>0.21234094732396902</c:v>
                </c:pt>
              </c:numCache>
            </c:numRef>
          </c:val>
          <c:smooth val="0"/>
          <c:extLst>
            <c:ext xmlns:c16="http://schemas.microsoft.com/office/drawing/2014/chart" uri="{C3380CC4-5D6E-409C-BE32-E72D297353CC}">
              <c16:uniqueId val="{00000001-B2AF-4D92-B5FC-976F64A39D3D}"/>
            </c:ext>
          </c:extLst>
        </c:ser>
        <c:dLbls>
          <c:showLegendKey val="0"/>
          <c:showVal val="1"/>
          <c:showCatName val="0"/>
          <c:showSerName val="0"/>
          <c:showPercent val="0"/>
          <c:showBubbleSize val="0"/>
        </c:dLbls>
        <c:marker val="1"/>
        <c:smooth val="0"/>
        <c:axId val="828115536"/>
        <c:axId val="828145776"/>
      </c:lineChart>
      <c:catAx>
        <c:axId val="8281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42896"/>
        <c:crosses val="autoZero"/>
        <c:auto val="1"/>
        <c:lblAlgn val="ctr"/>
        <c:lblOffset val="100"/>
        <c:noMultiLvlLbl val="0"/>
      </c:catAx>
      <c:valAx>
        <c:axId val="828142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40976"/>
        <c:crosses val="autoZero"/>
        <c:crossBetween val="between"/>
      </c:valAx>
      <c:valAx>
        <c:axId val="828145776"/>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15536"/>
        <c:crosses val="max"/>
        <c:crossBetween val="between"/>
      </c:valAx>
      <c:catAx>
        <c:axId val="828115536"/>
        <c:scaling>
          <c:orientation val="minMax"/>
        </c:scaling>
        <c:delete val="1"/>
        <c:axPos val="b"/>
        <c:numFmt formatCode="General" sourceLinked="1"/>
        <c:majorTickMark val="none"/>
        <c:minorTickMark val="none"/>
        <c:tickLblPos val="nextTo"/>
        <c:crossAx val="8281457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3"/>
  </c:pivotSource>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a:solidFill>
                  <a:srgbClr val="00B050"/>
                </a:solidFill>
              </a:rPr>
              <a:t>Profit</a:t>
            </a:r>
            <a:r>
              <a:rPr lang="en-US" baseline="0">
                <a:solidFill>
                  <a:srgbClr val="00B050"/>
                </a:solidFill>
              </a:rPr>
              <a:t> Margin By Category</a:t>
            </a:r>
            <a:endParaRPr lang="en-US">
              <a:solidFill>
                <a:srgbClr val="00B050"/>
              </a:solidFill>
            </a:endParaRPr>
          </a:p>
        </c:rich>
      </c:tx>
      <c:layout>
        <c:manualLayout>
          <c:xMode val="edge"/>
          <c:yMode val="edge"/>
          <c:x val="0.29805609363394714"/>
          <c:y val="6.9596724615734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none"/>
        </c:marker>
        <c:dLbl>
          <c:idx val="0"/>
          <c:layout>
            <c:manualLayout>
              <c:x val="-3.8484310242747295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none"/>
        </c:marker>
        <c:dLbl>
          <c:idx val="0"/>
          <c:layout>
            <c:manualLayout>
              <c:x val="8.8809946714031966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layout>
            <c:manualLayout>
              <c:x val="8.8809946714031966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c:f>
              <c:strCache>
                <c:ptCount val="1"/>
                <c:pt idx="0">
                  <c:v>net amount</c:v>
                </c:pt>
              </c:strCache>
            </c:strRef>
          </c:tx>
          <c:spPr>
            <a:solidFill>
              <a:srgbClr val="002060"/>
            </a:solidFill>
            <a:ln>
              <a:noFill/>
            </a:ln>
            <a:effectLst/>
          </c:spPr>
          <c:invertIfNegative val="0"/>
          <c:dLbls>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Sheet1!$A$14:$A$18</c:f>
              <c:strCache>
                <c:ptCount val="4"/>
                <c:pt idx="0">
                  <c:v>Air Conditioners</c:v>
                </c:pt>
                <c:pt idx="1">
                  <c:v>Home Appliances</c:v>
                </c:pt>
                <c:pt idx="2">
                  <c:v>Laptops</c:v>
                </c:pt>
                <c:pt idx="3">
                  <c:v>Mobiles</c:v>
                </c:pt>
              </c:strCache>
            </c:strRef>
          </c:cat>
          <c:val>
            <c:numRef>
              <c:f>Sheet1!$B$14:$B$18</c:f>
              <c:numCache>
                <c:formatCode>#,##0</c:formatCode>
                <c:ptCount val="4"/>
                <c:pt idx="0">
                  <c:v>57905920</c:v>
                </c:pt>
                <c:pt idx="1">
                  <c:v>146093299</c:v>
                </c:pt>
                <c:pt idx="2">
                  <c:v>91153088</c:v>
                </c:pt>
                <c:pt idx="3">
                  <c:v>45704012</c:v>
                </c:pt>
              </c:numCache>
            </c:numRef>
          </c:val>
          <c:extLst>
            <c:ext xmlns:c16="http://schemas.microsoft.com/office/drawing/2014/chart" uri="{C3380CC4-5D6E-409C-BE32-E72D297353CC}">
              <c16:uniqueId val="{00000000-79BE-4A10-888C-F4C8DEDCFF65}"/>
            </c:ext>
          </c:extLst>
        </c:ser>
        <c:dLbls>
          <c:dLblPos val="outEnd"/>
          <c:showLegendKey val="0"/>
          <c:showVal val="1"/>
          <c:showCatName val="0"/>
          <c:showSerName val="0"/>
          <c:showPercent val="0"/>
          <c:showBubbleSize val="0"/>
        </c:dLbls>
        <c:gapWidth val="219"/>
        <c:overlap val="-27"/>
        <c:axId val="349842672"/>
        <c:axId val="349843152"/>
      </c:barChart>
      <c:lineChart>
        <c:grouping val="standard"/>
        <c:varyColors val="0"/>
        <c:ser>
          <c:idx val="1"/>
          <c:order val="1"/>
          <c:tx>
            <c:strRef>
              <c:f>Sheet1!$C$13</c:f>
              <c:strCache>
                <c:ptCount val="1"/>
                <c:pt idx="0">
                  <c:v>margine</c:v>
                </c:pt>
              </c:strCache>
            </c:strRef>
          </c:tx>
          <c:spPr>
            <a:ln w="28575" cap="rnd">
              <a:solidFill>
                <a:srgbClr val="00B050"/>
              </a:solidFill>
              <a:round/>
            </a:ln>
            <a:effectLst/>
          </c:spPr>
          <c:marker>
            <c:symbol val="none"/>
          </c:marker>
          <c:dPt>
            <c:idx val="1"/>
            <c:marker>
              <c:symbol val="none"/>
            </c:marker>
            <c:bubble3D val="0"/>
            <c:extLst>
              <c:ext xmlns:c16="http://schemas.microsoft.com/office/drawing/2014/chart" uri="{C3380CC4-5D6E-409C-BE32-E72D297353CC}">
                <c16:uniqueId val="{00000003-79BE-4A10-888C-F4C8DEDCFF65}"/>
              </c:ext>
            </c:extLst>
          </c:dPt>
          <c:dPt>
            <c:idx val="2"/>
            <c:marker>
              <c:symbol val="none"/>
            </c:marker>
            <c:bubble3D val="0"/>
            <c:extLst>
              <c:ext xmlns:c16="http://schemas.microsoft.com/office/drawing/2014/chart" uri="{C3380CC4-5D6E-409C-BE32-E72D297353CC}">
                <c16:uniqueId val="{00000004-79BE-4A10-888C-F4C8DEDCFF65}"/>
              </c:ext>
            </c:extLst>
          </c:dPt>
          <c:dPt>
            <c:idx val="3"/>
            <c:marker>
              <c:symbol val="none"/>
            </c:marker>
            <c:bubble3D val="0"/>
            <c:extLst>
              <c:ext xmlns:c16="http://schemas.microsoft.com/office/drawing/2014/chart" uri="{C3380CC4-5D6E-409C-BE32-E72D297353CC}">
                <c16:uniqueId val="{00000002-79BE-4A10-888C-F4C8DEDCFF65}"/>
              </c:ext>
            </c:extLst>
          </c:dPt>
          <c:dLbls>
            <c:dLbl>
              <c:idx val="1"/>
              <c:layout>
                <c:manualLayout>
                  <c:x val="8.8809946714031966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BE-4A10-888C-F4C8DEDCFF65}"/>
                </c:ext>
              </c:extLst>
            </c:dLbl>
            <c:dLbl>
              <c:idx val="2"/>
              <c:layout>
                <c:manualLayout>
                  <c:x val="8.8809946714031966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BE-4A10-888C-F4C8DEDCFF65}"/>
                </c:ext>
              </c:extLst>
            </c:dLbl>
            <c:dLbl>
              <c:idx val="3"/>
              <c:layout>
                <c:manualLayout>
                  <c:x val="-3.848431024274729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BE-4A10-888C-F4C8DEDCFF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Sheet1!$A$14:$A$18</c:f>
              <c:strCache>
                <c:ptCount val="4"/>
                <c:pt idx="0">
                  <c:v>Air Conditioners</c:v>
                </c:pt>
                <c:pt idx="1">
                  <c:v>Home Appliances</c:v>
                </c:pt>
                <c:pt idx="2">
                  <c:v>Laptops</c:v>
                </c:pt>
                <c:pt idx="3">
                  <c:v>Mobiles</c:v>
                </c:pt>
              </c:strCache>
            </c:strRef>
          </c:cat>
          <c:val>
            <c:numRef>
              <c:f>Sheet1!$C$14:$C$18</c:f>
              <c:numCache>
                <c:formatCode>0.00%;\-0.00%;0.00%</c:formatCode>
                <c:ptCount val="4"/>
                <c:pt idx="0">
                  <c:v>0.18243592364994807</c:v>
                </c:pt>
                <c:pt idx="1">
                  <c:v>0.14944216572178304</c:v>
                </c:pt>
                <c:pt idx="2">
                  <c:v>0.17254915159868198</c:v>
                </c:pt>
                <c:pt idx="3">
                  <c:v>0.20337299928942781</c:v>
                </c:pt>
              </c:numCache>
            </c:numRef>
          </c:val>
          <c:smooth val="0"/>
          <c:extLst>
            <c:ext xmlns:c16="http://schemas.microsoft.com/office/drawing/2014/chart" uri="{C3380CC4-5D6E-409C-BE32-E72D297353CC}">
              <c16:uniqueId val="{00000001-79BE-4A10-888C-F4C8DEDCFF65}"/>
            </c:ext>
          </c:extLst>
        </c:ser>
        <c:dLbls>
          <c:showLegendKey val="0"/>
          <c:showVal val="1"/>
          <c:showCatName val="0"/>
          <c:showSerName val="0"/>
          <c:showPercent val="0"/>
          <c:showBubbleSize val="0"/>
        </c:dLbls>
        <c:marker val="1"/>
        <c:smooth val="0"/>
        <c:axId val="346285328"/>
        <c:axId val="346275248"/>
      </c:lineChart>
      <c:catAx>
        <c:axId val="34984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43152"/>
        <c:crosses val="autoZero"/>
        <c:auto val="1"/>
        <c:lblAlgn val="ctr"/>
        <c:lblOffset val="100"/>
        <c:noMultiLvlLbl val="0"/>
      </c:catAx>
      <c:valAx>
        <c:axId val="349843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42672"/>
        <c:crosses val="autoZero"/>
        <c:crossBetween val="between"/>
      </c:valAx>
      <c:valAx>
        <c:axId val="34627524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285328"/>
        <c:crosses val="max"/>
        <c:crossBetween val="between"/>
      </c:valAx>
      <c:catAx>
        <c:axId val="346285328"/>
        <c:scaling>
          <c:orientation val="minMax"/>
        </c:scaling>
        <c:delete val="1"/>
        <c:axPos val="b"/>
        <c:numFmt formatCode="General" sourceLinked="1"/>
        <c:majorTickMark val="out"/>
        <c:minorTickMark val="none"/>
        <c:tickLblPos val="nextTo"/>
        <c:crossAx val="346275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dLbl>
          <c:idx val="0"/>
          <c:layout>
            <c:manualLayout>
              <c:x val="-9.3755820844975093E-2"/>
              <c:y val="0.17491494118790699"/>
            </c:manualLayout>
          </c:layout>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225524228826236"/>
              <c:y val="3.2871959381145731E-3"/>
            </c:manualLayout>
          </c:layout>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dLbl>
          <c:idx val="0"/>
          <c:layout>
            <c:manualLayout>
              <c:x val="-1.1957215025541227E-2"/>
              <c:y val="-0.1656212845189223"/>
            </c:manualLayout>
          </c:layout>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w="19050">
            <a:solidFill>
              <a:schemeClr val="lt1"/>
            </a:solidFill>
          </a:ln>
          <a:effectLst/>
        </c:spPr>
        <c:dLbl>
          <c:idx val="0"/>
          <c:layout>
            <c:manualLayout>
              <c:x val="0.19071515254141619"/>
              <c:y val="7.6421323402950617E-2"/>
            </c:manualLayout>
          </c:layout>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85217022544668E-2"/>
          <c:y val="0.26549732753993988"/>
          <c:w val="0.532498080207223"/>
          <c:h val="0.68314879757677349"/>
        </c:manualLayout>
      </c:layout>
      <c:pieChart>
        <c:varyColors val="1"/>
        <c:ser>
          <c:idx val="0"/>
          <c:order val="0"/>
          <c:tx>
            <c:strRef>
              <c:f>Sheet1!$L$5</c:f>
              <c:strCache>
                <c:ptCount val="1"/>
                <c:pt idx="0">
                  <c:v>Total</c:v>
                </c:pt>
              </c:strCache>
            </c:strRef>
          </c:tx>
          <c:explosion val="1"/>
          <c:dPt>
            <c:idx val="0"/>
            <c:bubble3D val="0"/>
            <c:explosion val="0"/>
            <c:spPr>
              <a:solidFill>
                <a:srgbClr val="00B0F0"/>
              </a:solidFill>
              <a:ln w="19050">
                <a:solidFill>
                  <a:schemeClr val="lt1"/>
                </a:solidFill>
              </a:ln>
              <a:effectLst/>
            </c:spPr>
            <c:extLst>
              <c:ext xmlns:c16="http://schemas.microsoft.com/office/drawing/2014/chart" uri="{C3380CC4-5D6E-409C-BE32-E72D297353CC}">
                <c16:uniqueId val="{00000001-F953-4A0F-9DA4-D8F7DDA006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53-4A0F-9DA4-D8F7DDA006C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F953-4A0F-9DA4-D8F7DDA006C6}"/>
              </c:ext>
            </c:extLst>
          </c:dPt>
          <c:dPt>
            <c:idx val="3"/>
            <c:bubble3D val="0"/>
            <c:spPr>
              <a:solidFill>
                <a:srgbClr val="002060"/>
              </a:solidFill>
              <a:ln w="19050">
                <a:solidFill>
                  <a:schemeClr val="lt1"/>
                </a:solidFill>
              </a:ln>
              <a:effectLst/>
            </c:spPr>
            <c:extLst>
              <c:ext xmlns:c16="http://schemas.microsoft.com/office/drawing/2014/chart" uri="{C3380CC4-5D6E-409C-BE32-E72D297353CC}">
                <c16:uniqueId val="{00000007-F953-4A0F-9DA4-D8F7DDA006C6}"/>
              </c:ext>
            </c:extLst>
          </c:dPt>
          <c:dLbls>
            <c:dLbl>
              <c:idx val="0"/>
              <c:layout>
                <c:manualLayout>
                  <c:x val="-9.3755820844975093E-2"/>
                  <c:y val="0.174914941187906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53-4A0F-9DA4-D8F7DDA006C6}"/>
                </c:ext>
              </c:extLst>
            </c:dLbl>
            <c:dLbl>
              <c:idx val="1"/>
              <c:layout>
                <c:manualLayout>
                  <c:x val="-0.17225524228826236"/>
                  <c:y val="3.287195938114573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53-4A0F-9DA4-D8F7DDA006C6}"/>
                </c:ext>
              </c:extLst>
            </c:dLbl>
            <c:dLbl>
              <c:idx val="2"/>
              <c:layout>
                <c:manualLayout>
                  <c:x val="-1.1957215025541227E-2"/>
                  <c:y val="-0.16562128451892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53-4A0F-9DA4-D8F7DDA006C6}"/>
                </c:ext>
              </c:extLst>
            </c:dLbl>
            <c:dLbl>
              <c:idx val="3"/>
              <c:layout>
                <c:manualLayout>
                  <c:x val="0.19071515254141619"/>
                  <c:y val="7.64213234029506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53-4A0F-9DA4-D8F7DDA006C6}"/>
                </c:ext>
              </c:extLst>
            </c:dLbl>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Sheet1!$K$6:$K$10</c:f>
              <c:strCache>
                <c:ptCount val="4"/>
                <c:pt idx="0">
                  <c:v>E-Commerce</c:v>
                </c:pt>
                <c:pt idx="1">
                  <c:v>Key Accounts</c:v>
                </c:pt>
                <c:pt idx="2">
                  <c:v>Retail</c:v>
                </c:pt>
                <c:pt idx="3">
                  <c:v>Whole Sales</c:v>
                </c:pt>
              </c:strCache>
            </c:strRef>
          </c:cat>
          <c:val>
            <c:numRef>
              <c:f>Sheet1!$L$6:$L$10</c:f>
              <c:numCache>
                <c:formatCode>#,##0</c:formatCode>
                <c:ptCount val="4"/>
                <c:pt idx="0">
                  <c:v>52705325</c:v>
                </c:pt>
                <c:pt idx="1">
                  <c:v>62208698</c:v>
                </c:pt>
                <c:pt idx="2">
                  <c:v>98984646</c:v>
                </c:pt>
                <c:pt idx="3">
                  <c:v>126957650</c:v>
                </c:pt>
              </c:numCache>
            </c:numRef>
          </c:val>
          <c:extLst>
            <c:ext xmlns:c16="http://schemas.microsoft.com/office/drawing/2014/chart" uri="{C3380CC4-5D6E-409C-BE32-E72D297353CC}">
              <c16:uniqueId val="{00000008-F953-4A0F-9DA4-D8F7DDA006C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dLbl>
          <c:idx val="0"/>
          <c:layout>
            <c:manualLayout>
              <c:x val="2.0325203252032522E-3"/>
              <c:y val="-4.1459369817578771E-2"/>
            </c:manualLayout>
          </c:layout>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dLbl>
          <c:idx val="0"/>
          <c:layout>
            <c:manualLayout>
              <c:x val="-3.0487804878050269E-3"/>
              <c:y val="-9.1210613598673315E-2"/>
            </c:manualLayout>
          </c:layout>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dLbl>
          <c:idx val="0"/>
          <c:layout>
            <c:manualLayout>
              <c:x val="2.0325203252032522E-3"/>
              <c:y val="-4.9751243781094565E-2"/>
            </c:manualLayout>
          </c:layout>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pivotFmt>
      <c:pivotFmt>
        <c:idx val="10"/>
        <c:spPr>
          <a:solidFill>
            <a:srgbClr val="002060"/>
          </a:solidFill>
          <a:ln>
            <a:noFill/>
          </a:ln>
          <a:effectLst/>
        </c:spPr>
      </c:pivotFmt>
    </c:pivotFmts>
    <c:plotArea>
      <c:layout/>
      <c:barChart>
        <c:barDir val="col"/>
        <c:grouping val="clustered"/>
        <c:varyColors val="0"/>
        <c:ser>
          <c:idx val="0"/>
          <c:order val="0"/>
          <c:tx>
            <c:strRef>
              <c:f>Sheet1!$H$5</c:f>
              <c:strCache>
                <c:ptCount val="1"/>
                <c:pt idx="0">
                  <c:v>net amount</c:v>
                </c:pt>
              </c:strCache>
            </c:strRef>
          </c:tx>
          <c:spPr>
            <a:solidFill>
              <a:srgbClr val="002060"/>
            </a:solidFill>
            <a:ln>
              <a:noFill/>
            </a:ln>
            <a:effectLst/>
          </c:spPr>
          <c:invertIfNegative val="0"/>
          <c:dLbls>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Sheet1!$G$6:$G$36</c:f>
              <c:strCache>
                <c:ptCount val="30"/>
                <c:pt idx="0">
                  <c:v>Abaza shopping center</c:v>
                </c:pt>
                <c:pt idx="1">
                  <c:v>Active Identity</c:v>
                </c:pt>
                <c:pt idx="2">
                  <c:v>Al-Taqwa For Export</c:v>
                </c:pt>
                <c:pt idx="3">
                  <c:v>AMC Trade</c:v>
                </c:pt>
                <c:pt idx="4">
                  <c:v>Barbary Group</c:v>
                </c:pt>
                <c:pt idx="5">
                  <c:v>Classic &amp; Modern</c:v>
                </c:pt>
                <c:pt idx="6">
                  <c:v>Cook &amp; go</c:v>
                </c:pt>
                <c:pt idx="7">
                  <c:v>El Nasr Group</c:v>
                </c:pt>
                <c:pt idx="8">
                  <c:v>Electric Machines</c:v>
                </c:pt>
                <c:pt idx="9">
                  <c:v>El-Nour Mall</c:v>
                </c:pt>
                <c:pt idx="10">
                  <c:v>Family life trade</c:v>
                </c:pt>
                <c:pt idx="11">
                  <c:v>Gravity &amp; Mixeur</c:v>
                </c:pt>
                <c:pt idx="12">
                  <c:v>Hindawi Trading</c:v>
                </c:pt>
                <c:pt idx="13">
                  <c:v>HKN Trading</c:v>
                </c:pt>
                <c:pt idx="14">
                  <c:v>IPO Magix</c:v>
                </c:pt>
                <c:pt idx="15">
                  <c:v>Life is easy</c:v>
                </c:pt>
                <c:pt idx="16">
                  <c:v>Middle East Trading</c:v>
                </c:pt>
                <c:pt idx="17">
                  <c:v>MK Infinity</c:v>
                </c:pt>
                <c:pt idx="18">
                  <c:v>Modern tec</c:v>
                </c:pt>
                <c:pt idx="19">
                  <c:v>Nile International Trade</c:v>
                </c:pt>
                <c:pt idx="20">
                  <c:v>PK Trade</c:v>
                </c:pt>
                <c:pt idx="21">
                  <c:v>Quantum Trading</c:v>
                </c:pt>
                <c:pt idx="22">
                  <c:v>Ready To Cook</c:v>
                </c:pt>
                <c:pt idx="23">
                  <c:v>Safe Home</c:v>
                </c:pt>
                <c:pt idx="24">
                  <c:v>The Local Agent</c:v>
                </c:pt>
                <c:pt idx="25">
                  <c:v>Trendy for trade</c:v>
                </c:pt>
                <c:pt idx="26">
                  <c:v>TRN Tec</c:v>
                </c:pt>
                <c:pt idx="27">
                  <c:v>Turkish kitchen</c:v>
                </c:pt>
                <c:pt idx="28">
                  <c:v>Unique Brand</c:v>
                </c:pt>
                <c:pt idx="29">
                  <c:v>Zul Trading</c:v>
                </c:pt>
              </c:strCache>
            </c:strRef>
          </c:cat>
          <c:val>
            <c:numRef>
              <c:f>Sheet1!$H$6:$H$36</c:f>
              <c:numCache>
                <c:formatCode>#,##0</c:formatCode>
                <c:ptCount val="30"/>
                <c:pt idx="0">
                  <c:v>8192035</c:v>
                </c:pt>
                <c:pt idx="1">
                  <c:v>11326536</c:v>
                </c:pt>
                <c:pt idx="2">
                  <c:v>11347895</c:v>
                </c:pt>
                <c:pt idx="3">
                  <c:v>22710111</c:v>
                </c:pt>
                <c:pt idx="4">
                  <c:v>5714169</c:v>
                </c:pt>
                <c:pt idx="5">
                  <c:v>6507187</c:v>
                </c:pt>
                <c:pt idx="6">
                  <c:v>10403931</c:v>
                </c:pt>
                <c:pt idx="7">
                  <c:v>17996899</c:v>
                </c:pt>
                <c:pt idx="8">
                  <c:v>6094803</c:v>
                </c:pt>
                <c:pt idx="9">
                  <c:v>6466271</c:v>
                </c:pt>
                <c:pt idx="10">
                  <c:v>12883774</c:v>
                </c:pt>
                <c:pt idx="11">
                  <c:v>11882375</c:v>
                </c:pt>
                <c:pt idx="12">
                  <c:v>8870544</c:v>
                </c:pt>
                <c:pt idx="13">
                  <c:v>10084162</c:v>
                </c:pt>
                <c:pt idx="14">
                  <c:v>8926290</c:v>
                </c:pt>
                <c:pt idx="15">
                  <c:v>5316484</c:v>
                </c:pt>
                <c:pt idx="16">
                  <c:v>10374735</c:v>
                </c:pt>
                <c:pt idx="17">
                  <c:v>6280677</c:v>
                </c:pt>
                <c:pt idx="18">
                  <c:v>7489282</c:v>
                </c:pt>
                <c:pt idx="19">
                  <c:v>12218394</c:v>
                </c:pt>
                <c:pt idx="20">
                  <c:v>12610070</c:v>
                </c:pt>
                <c:pt idx="21">
                  <c:v>8028677</c:v>
                </c:pt>
                <c:pt idx="22">
                  <c:v>10374022</c:v>
                </c:pt>
                <c:pt idx="23">
                  <c:v>13262486</c:v>
                </c:pt>
                <c:pt idx="24">
                  <c:v>27550545</c:v>
                </c:pt>
                <c:pt idx="25">
                  <c:v>7124284</c:v>
                </c:pt>
                <c:pt idx="26">
                  <c:v>7643683</c:v>
                </c:pt>
                <c:pt idx="27">
                  <c:v>14516552</c:v>
                </c:pt>
                <c:pt idx="28">
                  <c:v>19276593</c:v>
                </c:pt>
                <c:pt idx="29">
                  <c:v>19382853</c:v>
                </c:pt>
              </c:numCache>
            </c:numRef>
          </c:val>
          <c:extLst>
            <c:ext xmlns:c16="http://schemas.microsoft.com/office/drawing/2014/chart" uri="{C3380CC4-5D6E-409C-BE32-E72D297353CC}">
              <c16:uniqueId val="{00000000-8100-4E8E-8F12-6E6B17B51B1C}"/>
            </c:ext>
          </c:extLst>
        </c:ser>
        <c:ser>
          <c:idx val="1"/>
          <c:order val="1"/>
          <c:tx>
            <c:strRef>
              <c:f>Sheet1!$I$5</c:f>
              <c:strCache>
                <c:ptCount val="1"/>
                <c:pt idx="0">
                  <c:v>Sum of target</c:v>
                </c:pt>
              </c:strCache>
            </c:strRef>
          </c:tx>
          <c:spPr>
            <a:solidFill>
              <a:srgbClr val="00B050"/>
            </a:solidFill>
            <a:ln>
              <a:noFill/>
            </a:ln>
            <a:effectLst/>
          </c:spPr>
          <c:invertIfNegative val="0"/>
          <c:dPt>
            <c:idx val="24"/>
            <c:invertIfNegative val="0"/>
            <c:bubble3D val="0"/>
            <c:extLst>
              <c:ext xmlns:c16="http://schemas.microsoft.com/office/drawing/2014/chart" uri="{C3380CC4-5D6E-409C-BE32-E72D297353CC}">
                <c16:uniqueId val="{00000002-8100-4E8E-8F12-6E6B17B51B1C}"/>
              </c:ext>
            </c:extLst>
          </c:dPt>
          <c:dPt>
            <c:idx val="28"/>
            <c:invertIfNegative val="0"/>
            <c:bubble3D val="0"/>
            <c:extLst>
              <c:ext xmlns:c16="http://schemas.microsoft.com/office/drawing/2014/chart" uri="{C3380CC4-5D6E-409C-BE32-E72D297353CC}">
                <c16:uniqueId val="{00000003-8100-4E8E-8F12-6E6B17B51B1C}"/>
              </c:ext>
            </c:extLst>
          </c:dPt>
          <c:dPt>
            <c:idx val="29"/>
            <c:invertIfNegative val="0"/>
            <c:bubble3D val="0"/>
            <c:extLst>
              <c:ext xmlns:c16="http://schemas.microsoft.com/office/drawing/2014/chart" uri="{C3380CC4-5D6E-409C-BE32-E72D297353CC}">
                <c16:uniqueId val="{00000004-8100-4E8E-8F12-6E6B17B51B1C}"/>
              </c:ext>
            </c:extLst>
          </c:dPt>
          <c:dLbls>
            <c:dLbl>
              <c:idx val="24"/>
              <c:layout>
                <c:manualLayout>
                  <c:x val="2.0325203252032522E-3"/>
                  <c:y val="-4.14593698175787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00-4E8E-8F12-6E6B17B51B1C}"/>
                </c:ext>
              </c:extLst>
            </c:dLbl>
            <c:dLbl>
              <c:idx val="28"/>
              <c:layout>
                <c:manualLayout>
                  <c:x val="-3.0487804878050269E-3"/>
                  <c:y val="-9.12106135986733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00-4E8E-8F12-6E6B17B51B1C}"/>
                </c:ext>
              </c:extLst>
            </c:dLbl>
            <c:dLbl>
              <c:idx val="29"/>
              <c:layout>
                <c:manualLayout>
                  <c:x val="2.0325203252032522E-3"/>
                  <c:y val="-4.97512437810945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00-4E8E-8F12-6E6B17B51B1C}"/>
                </c:ext>
              </c:extLst>
            </c:dLbl>
            <c:numFmt formatCode="[&gt;=1000000]#0.0,,&quot;M&quot;;[&gt;=1000]#0.0,&quot;K&quot;;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Sheet1!$G$6:$G$36</c:f>
              <c:strCache>
                <c:ptCount val="30"/>
                <c:pt idx="0">
                  <c:v>Abaza shopping center</c:v>
                </c:pt>
                <c:pt idx="1">
                  <c:v>Active Identity</c:v>
                </c:pt>
                <c:pt idx="2">
                  <c:v>Al-Taqwa For Export</c:v>
                </c:pt>
                <c:pt idx="3">
                  <c:v>AMC Trade</c:v>
                </c:pt>
                <c:pt idx="4">
                  <c:v>Barbary Group</c:v>
                </c:pt>
                <c:pt idx="5">
                  <c:v>Classic &amp; Modern</c:v>
                </c:pt>
                <c:pt idx="6">
                  <c:v>Cook &amp; go</c:v>
                </c:pt>
                <c:pt idx="7">
                  <c:v>El Nasr Group</c:v>
                </c:pt>
                <c:pt idx="8">
                  <c:v>Electric Machines</c:v>
                </c:pt>
                <c:pt idx="9">
                  <c:v>El-Nour Mall</c:v>
                </c:pt>
                <c:pt idx="10">
                  <c:v>Family life trade</c:v>
                </c:pt>
                <c:pt idx="11">
                  <c:v>Gravity &amp; Mixeur</c:v>
                </c:pt>
                <c:pt idx="12">
                  <c:v>Hindawi Trading</c:v>
                </c:pt>
                <c:pt idx="13">
                  <c:v>HKN Trading</c:v>
                </c:pt>
                <c:pt idx="14">
                  <c:v>IPO Magix</c:v>
                </c:pt>
                <c:pt idx="15">
                  <c:v>Life is easy</c:v>
                </c:pt>
                <c:pt idx="16">
                  <c:v>Middle East Trading</c:v>
                </c:pt>
                <c:pt idx="17">
                  <c:v>MK Infinity</c:v>
                </c:pt>
                <c:pt idx="18">
                  <c:v>Modern tec</c:v>
                </c:pt>
                <c:pt idx="19">
                  <c:v>Nile International Trade</c:v>
                </c:pt>
                <c:pt idx="20">
                  <c:v>PK Trade</c:v>
                </c:pt>
                <c:pt idx="21">
                  <c:v>Quantum Trading</c:v>
                </c:pt>
                <c:pt idx="22">
                  <c:v>Ready To Cook</c:v>
                </c:pt>
                <c:pt idx="23">
                  <c:v>Safe Home</c:v>
                </c:pt>
                <c:pt idx="24">
                  <c:v>The Local Agent</c:v>
                </c:pt>
                <c:pt idx="25">
                  <c:v>Trendy for trade</c:v>
                </c:pt>
                <c:pt idx="26">
                  <c:v>TRN Tec</c:v>
                </c:pt>
                <c:pt idx="27">
                  <c:v>Turkish kitchen</c:v>
                </c:pt>
                <c:pt idx="28">
                  <c:v>Unique Brand</c:v>
                </c:pt>
                <c:pt idx="29">
                  <c:v>Zul Trading</c:v>
                </c:pt>
              </c:strCache>
            </c:strRef>
          </c:cat>
          <c:val>
            <c:numRef>
              <c:f>Sheet1!$I$6:$I$36</c:f>
              <c:numCache>
                <c:formatCode>#,##0</c:formatCode>
                <c:ptCount val="30"/>
                <c:pt idx="0">
                  <c:v>8500000</c:v>
                </c:pt>
                <c:pt idx="1">
                  <c:v>11750000</c:v>
                </c:pt>
                <c:pt idx="2">
                  <c:v>11750000</c:v>
                </c:pt>
                <c:pt idx="3">
                  <c:v>23250000</c:v>
                </c:pt>
                <c:pt idx="4">
                  <c:v>6250000</c:v>
                </c:pt>
                <c:pt idx="5">
                  <c:v>7000000</c:v>
                </c:pt>
                <c:pt idx="6">
                  <c:v>10750000</c:v>
                </c:pt>
                <c:pt idx="7">
                  <c:v>18250000</c:v>
                </c:pt>
                <c:pt idx="8">
                  <c:v>6750000</c:v>
                </c:pt>
                <c:pt idx="9">
                  <c:v>7000000</c:v>
                </c:pt>
                <c:pt idx="10">
                  <c:v>13000000</c:v>
                </c:pt>
                <c:pt idx="11">
                  <c:v>12250000</c:v>
                </c:pt>
                <c:pt idx="12">
                  <c:v>9500000</c:v>
                </c:pt>
                <c:pt idx="13">
                  <c:v>10500000</c:v>
                </c:pt>
                <c:pt idx="14">
                  <c:v>9500000</c:v>
                </c:pt>
                <c:pt idx="15">
                  <c:v>5750000</c:v>
                </c:pt>
                <c:pt idx="16">
                  <c:v>11000000</c:v>
                </c:pt>
                <c:pt idx="17">
                  <c:v>6750000</c:v>
                </c:pt>
                <c:pt idx="18">
                  <c:v>8000000</c:v>
                </c:pt>
                <c:pt idx="19">
                  <c:v>12750000</c:v>
                </c:pt>
                <c:pt idx="20">
                  <c:v>13000000</c:v>
                </c:pt>
                <c:pt idx="21">
                  <c:v>8500000</c:v>
                </c:pt>
                <c:pt idx="22">
                  <c:v>11000000</c:v>
                </c:pt>
                <c:pt idx="23">
                  <c:v>13750000</c:v>
                </c:pt>
                <c:pt idx="24">
                  <c:v>28000000</c:v>
                </c:pt>
                <c:pt idx="25">
                  <c:v>7500000</c:v>
                </c:pt>
                <c:pt idx="26">
                  <c:v>8250000</c:v>
                </c:pt>
                <c:pt idx="27">
                  <c:v>14750000</c:v>
                </c:pt>
                <c:pt idx="28">
                  <c:v>19750000</c:v>
                </c:pt>
                <c:pt idx="29">
                  <c:v>19750000</c:v>
                </c:pt>
              </c:numCache>
            </c:numRef>
          </c:val>
          <c:extLst>
            <c:ext xmlns:c16="http://schemas.microsoft.com/office/drawing/2014/chart" uri="{C3380CC4-5D6E-409C-BE32-E72D297353CC}">
              <c16:uniqueId val="{00000001-8100-4E8E-8F12-6E6B17B51B1C}"/>
            </c:ext>
          </c:extLst>
        </c:ser>
        <c:dLbls>
          <c:dLblPos val="outEnd"/>
          <c:showLegendKey val="0"/>
          <c:showVal val="1"/>
          <c:showCatName val="0"/>
          <c:showSerName val="0"/>
          <c:showPercent val="0"/>
          <c:showBubbleSize val="0"/>
        </c:dLbls>
        <c:gapWidth val="219"/>
        <c:overlap val="-27"/>
        <c:axId val="1859615695"/>
        <c:axId val="1859614735"/>
      </c:barChart>
      <c:catAx>
        <c:axId val="185961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14735"/>
        <c:crosses val="autoZero"/>
        <c:auto val="1"/>
        <c:lblAlgn val="ctr"/>
        <c:lblOffset val="100"/>
        <c:noMultiLvlLbl val="0"/>
      </c:catAx>
      <c:valAx>
        <c:axId val="1859614735"/>
        <c:scaling>
          <c:orientation val="minMax"/>
        </c:scaling>
        <c:delete val="0"/>
        <c:axPos val="l"/>
        <c:majorGridlines>
          <c:spPr>
            <a:ln w="9525" cap="flat" cmpd="sng" algn="ctr">
              <a:solidFill>
                <a:schemeClr val="bg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61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77056</xdr:colOff>
      <xdr:row>2</xdr:row>
      <xdr:rowOff>7620</xdr:rowOff>
    </xdr:from>
    <xdr:to>
      <xdr:col>5</xdr:col>
      <xdr:colOff>869536</xdr:colOff>
      <xdr:row>17</xdr:row>
      <xdr:rowOff>7620</xdr:rowOff>
    </xdr:to>
    <xdr:graphicFrame macro="">
      <xdr:nvGraphicFramePr>
        <xdr:cNvPr id="2" name="Chart 1">
          <a:extLst>
            <a:ext uri="{FF2B5EF4-FFF2-40B4-BE49-F238E27FC236}">
              <a16:creationId xmlns:a16="http://schemas.microsoft.com/office/drawing/2014/main" id="{DF374C5E-6E48-4635-9330-17280967F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723900</xdr:colOff>
      <xdr:row>2</xdr:row>
      <xdr:rowOff>7620</xdr:rowOff>
    </xdr:from>
    <xdr:to>
      <xdr:col>8</xdr:col>
      <xdr:colOff>205740</xdr:colOff>
      <xdr:row>17</xdr:row>
      <xdr:rowOff>7620</xdr:rowOff>
    </xdr:to>
    <xdr:graphicFrame macro="">
      <xdr:nvGraphicFramePr>
        <xdr:cNvPr id="3" name="Chart 2">
          <a:extLst>
            <a:ext uri="{FF2B5EF4-FFF2-40B4-BE49-F238E27FC236}">
              <a16:creationId xmlns:a16="http://schemas.microsoft.com/office/drawing/2014/main" id="{97B36506-35AE-4B9B-8F17-3ECAEBE5D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205740</xdr:colOff>
      <xdr:row>2</xdr:row>
      <xdr:rowOff>0</xdr:rowOff>
    </xdr:from>
    <xdr:to>
      <xdr:col>10</xdr:col>
      <xdr:colOff>76200</xdr:colOff>
      <xdr:row>16</xdr:row>
      <xdr:rowOff>114300</xdr:rowOff>
    </xdr:to>
    <xdr:graphicFrame macro="">
      <xdr:nvGraphicFramePr>
        <xdr:cNvPr id="4" name="Chart 3">
          <a:extLst>
            <a:ext uri="{FF2B5EF4-FFF2-40B4-BE49-F238E27FC236}">
              <a16:creationId xmlns:a16="http://schemas.microsoft.com/office/drawing/2014/main" id="{74A39D8F-2100-4414-93E3-1AB32274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502920</xdr:colOff>
      <xdr:row>16</xdr:row>
      <xdr:rowOff>167640</xdr:rowOff>
    </xdr:from>
    <xdr:to>
      <xdr:col>10</xdr:col>
      <xdr:colOff>76200</xdr:colOff>
      <xdr:row>33</xdr:row>
      <xdr:rowOff>121920</xdr:rowOff>
    </xdr:to>
    <xdr:graphicFrame macro="">
      <xdr:nvGraphicFramePr>
        <xdr:cNvPr id="5" name="Chart 4">
          <a:extLst>
            <a:ext uri="{FF2B5EF4-FFF2-40B4-BE49-F238E27FC236}">
              <a16:creationId xmlns:a16="http://schemas.microsoft.com/office/drawing/2014/main" id="{C299ED05-F247-4F72-879D-3D90B6566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12096</xdr:colOff>
      <xdr:row>10</xdr:row>
      <xdr:rowOff>179856</xdr:rowOff>
    </xdr:from>
    <xdr:to>
      <xdr:col>2</xdr:col>
      <xdr:colOff>568476</xdr:colOff>
      <xdr:row>22</xdr:row>
      <xdr:rowOff>24190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8CBFD2C0-4FDF-B023-41AD-34002F18259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96" y="2008656"/>
              <a:ext cx="1775580" cy="201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12096</xdr:colOff>
      <xdr:row>22</xdr:row>
      <xdr:rowOff>6774</xdr:rowOff>
    </xdr:from>
    <xdr:to>
      <xdr:col>2</xdr:col>
      <xdr:colOff>556381</xdr:colOff>
      <xdr:row>33</xdr:row>
      <xdr:rowOff>145143</xdr:rowOff>
    </xdr:to>
    <mc:AlternateContent xmlns:mc="http://schemas.openxmlformats.org/markup-compatibility/2006" xmlns:a14="http://schemas.microsoft.com/office/drawing/2010/main">
      <mc:Choice Requires="a14">
        <xdr:graphicFrame macro="">
          <xdr:nvGraphicFramePr>
            <xdr:cNvPr id="10" name="Item Name">
              <a:extLst>
                <a:ext uri="{FF2B5EF4-FFF2-40B4-BE49-F238E27FC236}">
                  <a16:creationId xmlns:a16="http://schemas.microsoft.com/office/drawing/2014/main" id="{FFFC7EF2-1DBC-61F9-3C4C-02E8A608C1A6}"/>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2096" y="4007274"/>
              <a:ext cx="1763485" cy="2129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12094</xdr:colOff>
      <xdr:row>3</xdr:row>
      <xdr:rowOff>2179</xdr:rowOff>
    </xdr:from>
    <xdr:to>
      <xdr:col>2</xdr:col>
      <xdr:colOff>556381</xdr:colOff>
      <xdr:row>11</xdr:row>
      <xdr:rowOff>12095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2D1CF610-A032-EC3A-555D-28FBAAEC52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94" y="564154"/>
              <a:ext cx="1763487" cy="1457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36580787037" backgroundQuery="1" createdVersion="8" refreshedVersion="8" minRefreshableVersion="3" recordCount="0" supportSubquery="1" supportAdvancedDrill="1" xr:uid="{F96A50D3-9D4B-4A32-9D1C-8B1F87763D9E}">
  <cacheSource type="external" connectionId="15"/>
  <cacheFields count="11">
    <cacheField name="[Measures].[net amount]" caption="net amount" numFmtId="0" hierarchy="38" level="32767"/>
    <cacheField name="[Measures].[from]" caption="from" numFmtId="0" hierarchy="40" level="32767"/>
    <cacheField name="[Measures].[To]" caption="To" numFmtId="0" hierarchy="41" level="32767"/>
    <cacheField name="[Measures].[total cost]" caption="total cost" numFmtId="0" hierarchy="42" level="32767"/>
    <cacheField name="[Measures].[profit]" caption="profit" numFmtId="0" hierarchy="43" level="32767"/>
    <cacheField name="[Measures].[margine]" caption="margine" numFmtId="0" hierarchy="44" level="32767"/>
    <cacheField name="[Measures].[sply]" caption="sply" numFmtId="0" hierarchy="45" level="32767"/>
    <cacheField name="[Measures].[Gross rate]" caption="Gross rate" numFmtId="0" hierarchy="46" level="32767"/>
    <cacheField name="[Measures].[Top Product]" caption="Top Product" numFmtId="0" hierarchy="48" level="32767"/>
    <cacheField name="[Measures].[total qty]" caption="total qty" numFmtId="0" hierarchy="47" level="32767"/>
    <cacheField name="[Price List].[Item Name].[Item Name]" caption="Item Name" numFmtId="0" hierarchy="21"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2" memberValueDatatype="130" unbalanced="0">
      <fieldsUsage count="2">
        <fieldUsage x="-1"/>
        <fieldUsage x="10"/>
      </fieldsUsage>
    </cacheHierarchy>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0" memberValueDatatype="13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net amount]" caption="net amount" measure="1" displayFolder="" measureGroup="sales" count="0" oneField="1">
      <fieldsUsage count="1">
        <fieldUsage x="0"/>
      </fieldsUsage>
    </cacheHierarchy>
    <cacheHierarchy uniqueName="[Measures].[totalsales]" caption="totalsales" measure="1" displayFolder="" measureGroup="sales" count="0"/>
    <cacheHierarchy uniqueName="[Measures].[from]" caption="from" measure="1" displayFolder="" measureGroup="sales" count="0" oneField="1">
      <fieldsUsage count="1">
        <fieldUsage x="1"/>
      </fieldsUsage>
    </cacheHierarchy>
    <cacheHierarchy uniqueName="[Measures].[To]" caption="To" measure="1" displayFolder="" measureGroup="sales" count="0" oneField="1">
      <fieldsUsage count="1">
        <fieldUsage x="2"/>
      </fieldsUsage>
    </cacheHierarchy>
    <cacheHierarchy uniqueName="[Measures].[total cost]" caption="total cost" measure="1" displayFolder="" measureGroup="sales" count="0" oneField="1">
      <fieldsUsage count="1">
        <fieldUsage x="3"/>
      </fieldsUsage>
    </cacheHierarchy>
    <cacheHierarchy uniqueName="[Measures].[profit]" caption="profit" measure="1" displayFolder="" measureGroup="sales" count="0" oneField="1">
      <fieldsUsage count="1">
        <fieldUsage x="4"/>
      </fieldsUsage>
    </cacheHierarchy>
    <cacheHierarchy uniqueName="[Measures].[margine]" caption="margine" measure="1" displayFolder="" measureGroup="sales" count="0" oneField="1">
      <fieldsUsage count="1">
        <fieldUsage x="5"/>
      </fieldsUsage>
    </cacheHierarchy>
    <cacheHierarchy uniqueName="[Measures].[sply]" caption="sply" measure="1" displayFolder="" measureGroup="sales" count="0" oneField="1">
      <fieldsUsage count="1">
        <fieldUsage x="6"/>
      </fieldsUsage>
    </cacheHierarchy>
    <cacheHierarchy uniqueName="[Measures].[Gross rate]" caption="Gross rate" measure="1" displayFolder="" measureGroup="sales" count="0" oneField="1">
      <fieldsUsage count="1">
        <fieldUsage x="7"/>
      </fieldsUsage>
    </cacheHierarchy>
    <cacheHierarchy uniqueName="[Measures].[total qty]" caption="total qty" measure="1" displayFolder="" measureGroup="sales" count="0" oneField="1">
      <fieldsUsage count="1">
        <fieldUsage x="9"/>
      </fieldsUsage>
    </cacheHierarchy>
    <cacheHierarchy uniqueName="[Measures].[Top Product]" caption="Top Product" measure="1" displayFolder="" measureGroup="sales" count="0" oneField="1">
      <fieldsUsage count="1">
        <fieldUsage x="8"/>
      </fieldsUsage>
    </cacheHierarchy>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3"/>
        </ext>
      </extLst>
    </cacheHierarchy>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7"/>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36581597223" backgroundQuery="1" createdVersion="8" refreshedVersion="8" minRefreshableVersion="3" recordCount="0" supportSubquery="1" supportAdvancedDrill="1" xr:uid="{A82FEC8A-753E-4D81-BA69-FC0F4FD5ABB0}">
  <cacheSource type="external" connectionId="15"/>
  <cacheFields count="4">
    <cacheField name="[Calendar].[Year].[Year]" caption="Year" numFmtId="0" hierarchy="2"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Year].&amp;[2019]"/>
            <x15:cachedUniqueName index="1" name="[Calendar].[Year].&amp;[2020]"/>
            <x15:cachedUniqueName index="2" name="[Calendar].[Year].&amp;[2021]"/>
            <x15:cachedUniqueName index="3" name="[Calendar].[Year].&amp;[2022]"/>
          </x15:cachedUniqueNames>
        </ext>
      </extLst>
    </cacheField>
    <cacheField name="[Measures].[net amount]" caption="net amount" numFmtId="0" hierarchy="38" level="32767"/>
    <cacheField name="[Measures].[Gross rate]" caption="Gross rate" numFmtId="0" hierarchy="46" level="32767"/>
    <cacheField name="[Price List].[Item Name].[Item Name]" caption="Item Name" numFmtId="0" hierarchy="21"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2" memberValueDatatype="130" unbalanced="0">
      <fieldsUsage count="2">
        <fieldUsage x="-1"/>
        <fieldUsage x="3"/>
      </fieldsUsage>
    </cacheHierarchy>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0" memberValueDatatype="13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net amount]" caption="net amount" measure="1" displayFolder="" measureGroup="sales" count="0" oneField="1">
      <fieldsUsage count="1">
        <fieldUsage x="1"/>
      </fieldsUsage>
    </cacheHierarchy>
    <cacheHierarchy uniqueName="[Measures].[totalsales]" caption="totalsales" measure="1" displayFolder="" measureGroup="sales" count="0"/>
    <cacheHierarchy uniqueName="[Measures].[from]" caption="from" measure="1" displayFolder="" measureGroup="sales" count="0"/>
    <cacheHierarchy uniqueName="[Measures].[To]" caption="To"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e]" caption="margine" measure="1" displayFolder="" measureGroup="sales" count="0"/>
    <cacheHierarchy uniqueName="[Measures].[sply]" caption="sply" measure="1" displayFolder="" measureGroup="sales" count="0"/>
    <cacheHierarchy uniqueName="[Measures].[Gross rate]" caption="Gross rate" measure="1" displayFolder="" measureGroup="sales" count="0" oneField="1">
      <fieldsUsage count="1">
        <fieldUsage x="2"/>
      </fieldsUsage>
    </cacheHierarchy>
    <cacheHierarchy uniqueName="[Measures].[total qty]" caption="total qty" measure="1" displayFolder="" measureGroup="sales" count="0"/>
    <cacheHierarchy uniqueName="[Measures].[Top Product]" caption="Top Product" measure="1" displayFolder="" measureGroup="sales" count="0"/>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3"/>
        </ext>
      </extLst>
    </cacheHierarchy>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7"/>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36582175923" backgroundQuery="1" createdVersion="8" refreshedVersion="8" minRefreshableVersion="3" recordCount="0" supportSubquery="1" supportAdvancedDrill="1" xr:uid="{BEDC7F67-1907-43AB-A658-7378F6226D78}">
  <cacheSource type="external" connectionId="15"/>
  <cacheFields count="4">
    <cacheField name="[Price List].[Item Category].[Item Category]" caption="Item Category" numFmtId="0" hierarchy="19" level="1">
      <sharedItems count="4">
        <s v="Air Conditioners"/>
        <s v="Home Appliances"/>
        <s v="Laptops"/>
        <s v="Mobiles"/>
      </sharedItems>
      <extLst>
        <ext xmlns:x15="http://schemas.microsoft.com/office/spreadsheetml/2010/11/main" uri="{4F2E5C28-24EA-4eb8-9CBF-B6C8F9C3D259}">
          <x15:cachedUniqueNames>
            <x15:cachedUniqueName index="0" name="[Price List].[Item Category].&amp;[Air Conditioners]"/>
            <x15:cachedUniqueName index="1" name="[Price List].[Item Category].&amp;[Home Appliances]"/>
            <x15:cachedUniqueName index="2" name="[Price List].[Item Category].&amp;[Laptops]"/>
            <x15:cachedUniqueName index="3" name="[Price List].[Item Category].&amp;[Mobiles]"/>
          </x15:cachedUniqueNames>
        </ext>
      </extLst>
    </cacheField>
    <cacheField name="[Measures].[net amount]" caption="net amount" numFmtId="0" hierarchy="38" level="32767"/>
    <cacheField name="[Measures].[margine]" caption="margine" numFmtId="0" hierarchy="44" level="32767"/>
    <cacheField name="[Price List].[Item Name].[Item Name]" caption="Item Name" numFmtId="0" hierarchy="21"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fieldsUsage count="2">
        <fieldUsage x="-1"/>
        <fieldUsage x="0"/>
      </fieldsUsage>
    </cacheHierarchy>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2" memberValueDatatype="130" unbalanced="0">
      <fieldsUsage count="2">
        <fieldUsage x="-1"/>
        <fieldUsage x="3"/>
      </fieldsUsage>
    </cacheHierarchy>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0" memberValueDatatype="13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net amount]" caption="net amount" measure="1" displayFolder="" measureGroup="sales" count="0" oneField="1">
      <fieldsUsage count="1">
        <fieldUsage x="1"/>
      </fieldsUsage>
    </cacheHierarchy>
    <cacheHierarchy uniqueName="[Measures].[totalsales]" caption="totalsales" measure="1" displayFolder="" measureGroup="sales" count="0"/>
    <cacheHierarchy uniqueName="[Measures].[from]" caption="from" measure="1" displayFolder="" measureGroup="sales" count="0"/>
    <cacheHierarchy uniqueName="[Measures].[To]" caption="To"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e]" caption="margine" measure="1" displayFolder="" measureGroup="sales" count="0" oneField="1">
      <fieldsUsage count="1">
        <fieldUsage x="2"/>
      </fieldsUsage>
    </cacheHierarchy>
    <cacheHierarchy uniqueName="[Measures].[sply]" caption="sply" measure="1" displayFolder="" measureGroup="sales" count="0"/>
    <cacheHierarchy uniqueName="[Measures].[Gross rate]" caption="Gross rate" measure="1" displayFolder="" measureGroup="sales" count="0"/>
    <cacheHierarchy uniqueName="[Measures].[total qty]" caption="total qty" measure="1" displayFolder="" measureGroup="sales" count="0"/>
    <cacheHierarchy uniqueName="[Measures].[Top Product]" caption="Top Product" measure="1" displayFolder="" measureGroup="sales" count="0"/>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3"/>
        </ext>
      </extLst>
    </cacheHierarchy>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7"/>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36582754631" backgroundQuery="1" createdVersion="8" refreshedVersion="8" minRefreshableVersion="3" recordCount="0" supportSubquery="1" supportAdvancedDrill="1" xr:uid="{B073B5BC-F3DA-40DD-84F3-5D8CC7612B37}">
  <cacheSource type="external" connectionId="15"/>
  <cacheFields count="4">
    <cacheField name="[Customer Data].[Customer Name].[Customer Name]" caption="Customer Name" numFmtId="0" hierarchy="10" level="1">
      <sharedItems count="30">
        <s v="Abaza shopping center"/>
        <s v="Active Identity"/>
        <s v="Al-Taqwa For Export"/>
        <s v="AMC Trade"/>
        <s v="Barbary Group"/>
        <s v="Classic &amp; Modern"/>
        <s v="Cook &amp; go"/>
        <s v="El Nasr Group"/>
        <s v="Electric Machines"/>
        <s v="El-Nour Mall"/>
        <s v="Family life trade"/>
        <s v="Gravity &amp; Mixeur"/>
        <s v="Hindawi Trading"/>
        <s v="HKN Trading"/>
        <s v="IPO Magix"/>
        <s v="Life is easy"/>
        <s v="Middle East Trading"/>
        <s v="MK Infinity"/>
        <s v="Modern tec"/>
        <s v="Nile International Trade"/>
        <s v="PK Trade"/>
        <s v="Quantum Trading"/>
        <s v="Ready To Cook"/>
        <s v="Safe Home"/>
        <s v="The Local Agent"/>
        <s v="Trendy for trade"/>
        <s v="TRN Tec"/>
        <s v="Turkish kitchen"/>
        <s v="Unique Brand"/>
        <s v="Zul Trading"/>
      </sharedItems>
      <extLst>
        <ext xmlns:x15="http://schemas.microsoft.com/office/spreadsheetml/2010/11/main" uri="{4F2E5C28-24EA-4eb8-9CBF-B6C8F9C3D259}">
          <x15:cachedUniqueNames>
            <x15:cachedUniqueName index="0" name="[Customer Data].[Customer Name].&amp;[Abaza shopping center]"/>
            <x15:cachedUniqueName index="1" name="[Customer Data].[Customer Name].&amp;[Active Identity]"/>
            <x15:cachedUniqueName index="2" name="[Customer Data].[Customer Name].&amp;[Al-Taqwa For Export]"/>
            <x15:cachedUniqueName index="3" name="[Customer Data].[Customer Name].&amp;[AMC Trade]"/>
            <x15:cachedUniqueName index="4" name="[Customer Data].[Customer Name].&amp;[Barbary Group]"/>
            <x15:cachedUniqueName index="5" name="[Customer Data].[Customer Name].&amp;[Classic &amp; Modern]"/>
            <x15:cachedUniqueName index="6" name="[Customer Data].[Customer Name].&amp;[Cook &amp; go]"/>
            <x15:cachedUniqueName index="7" name="[Customer Data].[Customer Name].&amp;[El Nasr Group]"/>
            <x15:cachedUniqueName index="8" name="[Customer Data].[Customer Name].&amp;[Electric Machines]"/>
            <x15:cachedUniqueName index="9" name="[Customer Data].[Customer Name].&amp;[El-Nour Mall]"/>
            <x15:cachedUniqueName index="10" name="[Customer Data].[Customer Name].&amp;[Family life trade]"/>
            <x15:cachedUniqueName index="11" name="[Customer Data].[Customer Name].&amp;[Gravity &amp; Mixeur]"/>
            <x15:cachedUniqueName index="12" name="[Customer Data].[Customer Name].&amp;[Hindawi Trading]"/>
            <x15:cachedUniqueName index="13" name="[Customer Data].[Customer Name].&amp;[HKN Trading]"/>
            <x15:cachedUniqueName index="14" name="[Customer Data].[Customer Name].&amp;[IPO Magix]"/>
            <x15:cachedUniqueName index="15" name="[Customer Data].[Customer Name].&amp;[Life is easy]"/>
            <x15:cachedUniqueName index="16" name="[Customer Data].[Customer Name].&amp;[Middle East Trading]"/>
            <x15:cachedUniqueName index="17" name="[Customer Data].[Customer Name].&amp;[MK Infinity]"/>
            <x15:cachedUniqueName index="18" name="[Customer Data].[Customer Name].&amp;[Modern tec]"/>
            <x15:cachedUniqueName index="19" name="[Customer Data].[Customer Name].&amp;[Nile International Trade]"/>
            <x15:cachedUniqueName index="20" name="[Customer Data].[Customer Name].&amp;[PK Trade]"/>
            <x15:cachedUniqueName index="21" name="[Customer Data].[Customer Name].&amp;[Quantum Trading]"/>
            <x15:cachedUniqueName index="22" name="[Customer Data].[Customer Name].&amp;[Ready To Cook]"/>
            <x15:cachedUniqueName index="23" name="[Customer Data].[Customer Name].&amp;[Safe Home]"/>
            <x15:cachedUniqueName index="24" name="[Customer Data].[Customer Name].&amp;[The Local Agent]"/>
            <x15:cachedUniqueName index="25" name="[Customer Data].[Customer Name].&amp;[Trendy for trade]"/>
            <x15:cachedUniqueName index="26" name="[Customer Data].[Customer Name].&amp;[TRN Tec]"/>
            <x15:cachedUniqueName index="27" name="[Customer Data].[Customer Name].&amp;[Turkish kitchen]"/>
            <x15:cachedUniqueName index="28" name="[Customer Data].[Customer Name].&amp;[Unique Brand]"/>
            <x15:cachedUniqueName index="29" name="[Customer Data].[Customer Name].&amp;[Zul Trading]"/>
          </x15:cachedUniqueNames>
        </ext>
      </extLst>
    </cacheField>
    <cacheField name="[Measures].[net amount]" caption="net amount" numFmtId="0" hierarchy="38" level="32767"/>
    <cacheField name="[Measures].[Sum of target]" caption="Sum of target" numFmtId="0" hierarchy="57" level="32767"/>
    <cacheField name="[Price List].[Item Name].[Item Name]" caption="Item Name" numFmtId="0" hierarchy="21"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2" memberValueDatatype="130" unbalanced="0">
      <fieldsUsage count="2">
        <fieldUsage x="-1"/>
        <fieldUsage x="0"/>
      </fieldsUsage>
    </cacheHierarchy>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0" memberValueDatatype="130" unbalanced="0"/>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2" memberValueDatatype="130" unbalanced="0">
      <fieldsUsage count="2">
        <fieldUsage x="-1"/>
        <fieldUsage x="3"/>
      </fieldsUsage>
    </cacheHierarchy>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0" memberValueDatatype="13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net amount]" caption="net amount" measure="1" displayFolder="" measureGroup="sales" count="0" oneField="1">
      <fieldsUsage count="1">
        <fieldUsage x="1"/>
      </fieldsUsage>
    </cacheHierarchy>
    <cacheHierarchy uniqueName="[Measures].[totalsales]" caption="totalsales" measure="1" displayFolder="" measureGroup="sales" count="0"/>
    <cacheHierarchy uniqueName="[Measures].[from]" caption="from" measure="1" displayFolder="" measureGroup="sales" count="0"/>
    <cacheHierarchy uniqueName="[Measures].[To]" caption="To"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e]" caption="margine" measure="1" displayFolder="" measureGroup="sales" count="0"/>
    <cacheHierarchy uniqueName="[Measures].[sply]" caption="sply" measure="1" displayFolder="" measureGroup="sales" count="0"/>
    <cacheHierarchy uniqueName="[Measures].[Gross rate]" caption="Gross rate" measure="1" displayFolder="" measureGroup="sales" count="0"/>
    <cacheHierarchy uniqueName="[Measures].[total qty]" caption="total qty" measure="1" displayFolder="" measureGroup="sales" count="0"/>
    <cacheHierarchy uniqueName="[Measures].[Top Product]" caption="Top Product" measure="1" displayFolder="" measureGroup="sales" count="0"/>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3"/>
        </ext>
      </extLst>
    </cacheHierarchy>
    <cacheHierarchy uniqueName="[Measures].[Sum of target]" caption="Sum of target" measure="1" displayFolder="" measureGroup="Total Targets 4 Years" count="0" oneField="1" hidden="1">
      <fieldsUsage count="1">
        <fieldUsage x="2"/>
      </fieldsUsage>
      <extLst>
        <ext xmlns:x15="http://schemas.microsoft.com/office/spreadsheetml/2010/11/main" uri="{B97F6D7D-B522-45F9-BDA1-12C45D357490}">
          <x15:cacheHierarchy aggregatedColumn="37"/>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36583333332" backgroundQuery="1" createdVersion="8" refreshedVersion="8" minRefreshableVersion="3" recordCount="0" supportSubquery="1" supportAdvancedDrill="1" xr:uid="{39996C01-08D2-4419-B360-587BB5983180}">
  <cacheSource type="external" connectionId="15"/>
  <cacheFields count="3">
    <cacheField name="[Customer Data].[Channel].[Channel]" caption="Channel" numFmtId="0" hierarchy="15" level="1">
      <sharedItems count="4">
        <s v="E-Commerce"/>
        <s v="Key Accounts"/>
        <s v="Retail"/>
        <s v="Whole Sales"/>
      </sharedItems>
      <extLst>
        <ext xmlns:x15="http://schemas.microsoft.com/office/spreadsheetml/2010/11/main" uri="{4F2E5C28-24EA-4eb8-9CBF-B6C8F9C3D259}">
          <x15:cachedUniqueNames>
            <x15:cachedUniqueName index="0" name="[Customer Data].[Channel].&amp;[E-Commerce]"/>
            <x15:cachedUniqueName index="1" name="[Customer Data].[Channel].&amp;[Key Accounts]"/>
            <x15:cachedUniqueName index="2" name="[Customer Data].[Channel].&amp;[Retail]"/>
            <x15:cachedUniqueName index="3" name="[Customer Data].[Channel].&amp;[Whole Sales]"/>
          </x15:cachedUniqueNames>
        </ext>
      </extLst>
    </cacheField>
    <cacheField name="[Measures].[net amount]" caption="net amount" numFmtId="0" hierarchy="38" level="32767"/>
    <cacheField name="[Price List].[Item Name].[Item Name]" caption="Item Name" numFmtId="0" hierarchy="21" level="1">
      <sharedItems containsSemiMixedTypes="0" containsNonDate="0" containsString="0"/>
    </cacheField>
  </cacheFields>
  <cacheHierarchies count="5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0" memberValueDatatype="20" unbalanced="0"/>
    <cacheHierarchy uniqueName="[Customer Data].[Customer Name]" caption="Customer Name" attribute="1" defaultMemberUniqueName="[Customer Data].[Customer Name].[All]" allUniqueName="[Customer Data].[Customer Name].[All]" dimensionUniqueName="[Customer Data]" displayFolder="" count="0" memberValueDatatype="130" unbalanced="0"/>
    <cacheHierarchy uniqueName="[Customer Data].[Continent Name]" caption="Continent Name" attribute="1" defaultMemberUniqueName="[Customer Data].[Continent Name].[All]" allUniqueName="[Customer Data].[Continent Name].[All]" dimensionUniqueName="[Customer Data]" displayFolder="" count="0"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0" memberValueDatatype="130" unbalanced="0"/>
    <cacheHierarchy uniqueName="[Customer Data].[Sales Rep.]" caption="Sales Rep." attribute="1" defaultMemberUniqueName="[Customer Data].[Sales Rep.].[All]" allUniqueName="[Customer Data].[Sales Rep.].[All]" dimensionUniqueName="[Customer Data]" displayFolder="" count="0" memberValueDatatype="130" unbalanced="0"/>
    <cacheHierarchy uniqueName="[Customer Data].[Channel]" caption="Channel" attribute="1" defaultMemberUniqueName="[Customer Data].[Channel].[All]" allUniqueName="[Customer Data].[Channel].[All]" dimensionUniqueName="[Customer Data]" displayFolder="" count="2" memberValueDatatype="130" unbalanced="0">
      <fieldsUsage count="2">
        <fieldUsage x="-1"/>
        <fieldUsage x="0"/>
      </fieldsUsage>
    </cacheHierarchy>
    <cacheHierarchy uniqueName="[Item Cost].[Item Code]" caption="Item Code" attribute="1" defaultMemberUniqueName="[Item Cost].[Item Code].[All]" allUniqueName="[Item Cost].[Item Code].[All]" dimensionUniqueName="[Item Cost]" displayFolder="" count="0" memberValueDatatype="20" unbalanced="0"/>
    <cacheHierarchy uniqueName="[Item Cost].[Cost]" caption="Cost" attribute="1" defaultMemberUniqueName="[Item Cost].[Cost].[All]" allUniqueName="[Item Cost].[Cost].[All]" dimensionUniqueName="[Item Cost]" displayFolder="" count="0" memberValueDatatype="20" unbalanced="0"/>
    <cacheHierarchy uniqueName="[Price List].[Item Code]" caption="Item Code" attribute="1" defaultMemberUniqueName="[Price List].[Item Code].[All]" allUniqueName="[Price List].[Item Code].[All]" dimensionUniqueName="[Price List]" displayFolder="" count="0" memberValueDatatype="20" unbalanced="0"/>
    <cacheHierarchy uniqueName="[Price List].[Item Category]" caption="Item Category" attribute="1" defaultMemberUniqueName="[Price List].[Item Category].[All]" allUniqueName="[Price List].[Item Category].[All]" dimensionUniqueName="[Price List]" displayFolder="" count="0" memberValueDatatype="130" unbalanced="0"/>
    <cacheHierarchy uniqueName="[Price List].[Item Type]" caption="Item Type" attribute="1" defaultMemberUniqueName="[Price List].[Item Type].[All]" allUniqueName="[Price List].[Item Type].[All]" dimensionUniqueName="[Price List]" displayFolder="" count="0" memberValueDatatype="130" unbalanced="0"/>
    <cacheHierarchy uniqueName="[Price List].[Item Name]" caption="Item Name" attribute="1" defaultMemberUniqueName="[Price List].[Item Name].[All]" allUniqueName="[Price List].[Item Name].[All]" dimensionUniqueName="[Price List]" displayFolder="" count="2" memberValueDatatype="130" unbalanced="0">
      <fieldsUsage count="2">
        <fieldUsage x="-1"/>
        <fieldUsage x="2"/>
      </fieldsUsage>
    </cacheHierarchy>
    <cacheHierarchy uniqueName="[Price List].[Unit]" caption="Unit" attribute="1" defaultMemberUniqueName="[Price List].[Unit].[All]" allUniqueName="[Price List].[Unit].[All]" dimensionUniqueName="[Price List]" displayFolder="" count="0" memberValueDatatype="130" unbalanced="0"/>
    <cacheHierarchy uniqueName="[Price List].[Price]" caption="Price" attribute="1" defaultMemberUniqueName="[Price List].[Price].[All]" allUniqueName="[Price List].[Price].[All]" dimensionUniqueName="[Price List]"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Invoice No.]" caption="Invoice No." attribute="1" defaultMemberUniqueName="[sales].[Invoice No.].[All]" allUniqueName="[sales].[Invoice No.].[All]" dimensionUniqueName="[sales]" displayFolder="" count="0" memberValueDatatype="20" unbalanced="0"/>
    <cacheHierarchy uniqueName="[sales].[Invoice Type]" caption="Invoice Type" attribute="1" defaultMemberUniqueName="[sales].[Invoice Type].[All]" allUniqueName="[sales].[Invoice Typ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20" unbalanced="0"/>
    <cacheHierarchy uniqueName="[sales].[Item Code]" caption="Item Code" attribute="1" defaultMemberUniqueName="[sales].[Item Code].[All]" allUniqueName="[sales].[Item Code].[All]" dimensionUniqueName="[sales]" displayFolder="" count="0" memberValueDatatype="20" unbalanced="0"/>
    <cacheHierarchy uniqueName="[sales].[Qty]" caption="Qty" attribute="1" defaultMemberUniqueName="[sales].[Qty].[All]" allUniqueName="[sales].[Qty].[All]" dimensionUniqueName="[sales]" displayFolder="" count="0" memberValueDatatype="20" unbalanced="0"/>
    <cacheHierarchy uniqueName="[sales].[Discount]" caption="Discount" attribute="1" defaultMemberUniqueName="[sales].[Discount].[All]" allUniqueName="[sales].[Discount].[All]" dimensionUniqueName="[sales]" displayFolder="" count="0" memberValueDatatype="5" unbalanced="0"/>
    <cacheHierarchy uniqueName="[sales].[price]" caption="price" attribute="1" defaultMemberUniqueName="[sales].[price].[All]" allUniqueName="[sales].[price].[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total sales]" caption="total sales" attribute="1" defaultMemberUniqueName="[sales].[total sales].[All]" allUniqueName="[sales].[total sales].[All]" dimensionUniqueName="[sales]" displayFolder="" count="0" memberValueDatatype="20" unbalanced="0"/>
    <cacheHierarchy uniqueName="[sales].[net total sales]" caption="net total sales" attribute="1" defaultMemberUniqueName="[sales].[net total sales].[All]" allUniqueName="[sales].[net total sales].[All]" dimensionUniqueName="[sales]" displayFolder="" count="0"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0"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0" memberValueDatatype="130" unbalanced="0"/>
    <cacheHierarchy uniqueName="[Total Targets 4 Years].[target]" caption="target" attribute="1" defaultMemberUniqueName="[Total Targets 4 Years].[target].[All]" allUniqueName="[Total Targets 4 Years].[target].[All]" dimensionUniqueName="[Total Targets 4 Years]" displayFolder="" count="0" memberValueDatatype="20" unbalanced="0"/>
    <cacheHierarchy uniqueName="[Measures].[net amount]" caption="net amount" measure="1" displayFolder="" measureGroup="sales" count="0" oneField="1">
      <fieldsUsage count="1">
        <fieldUsage x="1"/>
      </fieldsUsage>
    </cacheHierarchy>
    <cacheHierarchy uniqueName="[Measures].[totalsales]" caption="totalsales" measure="1" displayFolder="" measureGroup="sales" count="0"/>
    <cacheHierarchy uniqueName="[Measures].[from]" caption="from" measure="1" displayFolder="" measureGroup="sales" count="0"/>
    <cacheHierarchy uniqueName="[Measures].[To]" caption="To"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e]" caption="margine" measure="1" displayFolder="" measureGroup="sales" count="0"/>
    <cacheHierarchy uniqueName="[Measures].[sply]" caption="sply" measure="1" displayFolder="" measureGroup="sales" count="0"/>
    <cacheHierarchy uniqueName="[Measures].[Gross rate]" caption="Gross rate" measure="1" displayFolder="" measureGroup="sales" count="0"/>
    <cacheHierarchy uniqueName="[Measures].[total qty]" caption="total qty" measure="1" displayFolder="" measureGroup="sales" count="0"/>
    <cacheHierarchy uniqueName="[Measures].[Top Product]" caption="Top Product" measure="1" displayFolder="" measureGroup="sales" count="0"/>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3"/>
        </ext>
      </extLst>
    </cacheHierarchy>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7"/>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 refreshedDate="45938.72669236111" backgroundQuery="1" createdVersion="3" refreshedVersion="8" minRefreshableVersion="3" recordCount="0" supportSubquery="1" supportAdvancedDrill="1" xr:uid="{6F6382EB-4363-4A1A-8CAA-9A96D40BA61D}">
  <cacheSource type="external" connectionId="15">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Customer Data].[Customer ID]" caption="Customer ID" attribute="1" defaultMemberUniqueName="[Customer Data].[Customer ID].[All]" allUniqueName="[Customer Data].[Customer ID].[All]" dimensionUniqueName="[Customer Data]" displayFolder="" count="2" memberValueDatatype="20" unbalanced="0"/>
    <cacheHierarchy uniqueName="[Customer Data].[Customer Name]" caption="Customer Name" attribute="1" defaultMemberUniqueName="[Customer Data].[Customer Name].[All]" allUniqueName="[Customer Data].[Customer Name].[All]" dimensionUniqueName="[Customer Data]" displayFolder="" count="2" memberValueDatatype="130" unbalanced="0"/>
    <cacheHierarchy uniqueName="[Customer Data].[Continent Name]" caption="Continent Name" attribute="1" defaultMemberUniqueName="[Customer Data].[Continent Name].[All]" allUniqueName="[Customer Data].[Continent Name].[All]" dimensionUniqueName="[Customer Data]" displayFolder="" count="2" memberValueDatatype="130" unbalanced="0"/>
    <cacheHierarchy uniqueName="[Customer Data].[Country]" caption="Country" attribute="1" defaultMemberUniqueName="[Customer Data].[Country].[All]" allUniqueName="[Customer Data].[Country].[All]" dimensionUniqueName="[Customer Data]" displayFolder="" count="2" memberValueDatatype="130" unbalanced="0"/>
    <cacheHierarchy uniqueName="[Customer Data].[Region]" caption="Region" attribute="1" defaultMemberUniqueName="[Customer Data].[Region].[All]" allUniqueName="[Customer Data].[Region].[All]" dimensionUniqueName="[Customer Data]" displayFolder="" count="2" memberValueDatatype="130" unbalanced="0"/>
    <cacheHierarchy uniqueName="[Customer Data].[Sales Rep.]" caption="Sales Rep." attribute="1" defaultMemberUniqueName="[Customer Data].[Sales Rep.].[All]" allUniqueName="[Customer Data].[Sales Rep.].[All]" dimensionUniqueName="[Customer Data]" displayFolder="" count="2" memberValueDatatype="130" unbalanced="0"/>
    <cacheHierarchy uniqueName="[Customer Data].[Channel]" caption="Channel" attribute="1" defaultMemberUniqueName="[Customer Data].[Channel].[All]" allUniqueName="[Customer Data].[Channel].[All]" dimensionUniqueName="[Customer Data]" displayFolder="" count="2" memberValueDatatype="130" unbalanced="0"/>
    <cacheHierarchy uniqueName="[Item Cost].[Item Code]" caption="Item Code" attribute="1" defaultMemberUniqueName="[Item Cost].[Item Code].[All]" allUniqueName="[Item Cost].[Item Code].[All]" dimensionUniqueName="[Item Cost]" displayFolder="" count="2" memberValueDatatype="20" unbalanced="0"/>
    <cacheHierarchy uniqueName="[Item Cost].[Cost]" caption="Cost" attribute="1" defaultMemberUniqueName="[Item Cost].[Cost].[All]" allUniqueName="[Item Cost].[Cost].[All]" dimensionUniqueName="[Item Cost]"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Price List].[Item Code]" caption="Item Code" attribute="1" defaultMemberUniqueName="[Price List].[Item Code].[All]" allUniqueName="[Price List].[Item Code].[All]" dimensionUniqueName="[Price List]" displayFolder="" count="2" memberValueDatatype="20" unbalanced="0"/>
    <cacheHierarchy uniqueName="[Price List].[Item Category]" caption="Item Category" attribute="1" defaultMemberUniqueName="[Price List].[Item Category].[All]" allUniqueName="[Price List].[Item Category].[All]" dimensionUniqueName="[Price List]" displayFolder="" count="2" memberValueDatatype="130" unbalanced="0"/>
    <cacheHierarchy uniqueName="[Price List].[Item Type]" caption="Item Type" attribute="1" defaultMemberUniqueName="[Price List].[Item Type].[All]" allUniqueName="[Price List].[Item Type].[All]" dimensionUniqueName="[Price List]" displayFolder="" count="2" memberValueDatatype="130" unbalanced="0"/>
    <cacheHierarchy uniqueName="[Price List].[Item Name]" caption="Item Name" attribute="1" defaultMemberUniqueName="[Price List].[Item Name].[All]" allUniqueName="[Price List].[Item Name].[All]" dimensionUniqueName="[Price List]" displayFolder="" count="2" memberValueDatatype="130" unbalanced="0"/>
    <cacheHierarchy uniqueName="[Price List].[Unit]" caption="Unit" attribute="1" defaultMemberUniqueName="[Price List].[Unit].[All]" allUniqueName="[Price List].[Unit].[All]" dimensionUniqueName="[Price List]" displayFolder="" count="2" memberValueDatatype="130" unbalanced="0"/>
    <cacheHierarchy uniqueName="[Price List].[Price]" caption="Price" attribute="1" defaultMemberUniqueName="[Price List].[Price].[All]" allUniqueName="[Price List].[Price].[All]" dimensionUniqueName="[Price List]"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Invoice No.]" caption="Invoice No." attribute="1" defaultMemberUniqueName="[sales].[Invoice No.].[All]" allUniqueName="[sales].[Invoice No.].[All]" dimensionUniqueName="[sales]" displayFolder="" count="2" memberValueDatatype="20" unbalanced="0"/>
    <cacheHierarchy uniqueName="[sales].[Invoice Type]" caption="Invoice Type" attribute="1" defaultMemberUniqueName="[sales].[Invoice Type].[All]" allUniqueName="[sales].[Invoice Type].[All]" dimensionUniqueName="[sales]" displayFolder="" count="2" memberValueDatatype="130" unbalanced="0"/>
    <cacheHierarchy uniqueName="[sales].[Customer ID]" caption="Customer ID" attribute="1" defaultMemberUniqueName="[sales].[Customer ID].[All]" allUniqueName="[sales].[Customer ID].[All]" dimensionUniqueName="[sales]" displayFolder="" count="2" memberValueDatatype="20" unbalanced="0"/>
    <cacheHierarchy uniqueName="[sales].[Item Code]" caption="Item Code" attribute="1" defaultMemberUniqueName="[sales].[Item Code].[All]" allUniqueName="[sales].[Item Code].[All]" dimensionUniqueName="[sales]" displayFolder="" count="2" memberValueDatatype="20" unbalanced="0"/>
    <cacheHierarchy uniqueName="[sales].[Qty]" caption="Qty" attribute="1" defaultMemberUniqueName="[sales].[Qty].[All]" allUniqueName="[sales].[Qty].[All]" dimensionUniqueName="[sales]" displayFolder="" count="2" memberValueDatatype="20" unbalanced="0"/>
    <cacheHierarchy uniqueName="[sales].[Discount]" caption="Discount" attribute="1" defaultMemberUniqueName="[sales].[Discount].[All]" allUniqueName="[sales].[Discount].[All]" dimensionUniqueName="[sales]" displayFolder="" count="2" memberValueDatatype="5" unbalanced="0"/>
    <cacheHierarchy uniqueName="[sales].[price]" caption="price" attribute="1" defaultMemberUniqueName="[sales].[price].[All]" allUniqueName="[sales].[price].[All]" dimensionUniqueName="[sales]" displayFolder="" count="2" memberValueDatatype="20" unbalanced="0"/>
    <cacheHierarchy uniqueName="[sales].[cost]" caption="cost" attribute="1" defaultMemberUniqueName="[sales].[cost].[All]" allUniqueName="[sales].[cost].[All]" dimensionUniqueName="[sales]" displayFolder="" count="2" memberValueDatatype="20" unbalanced="0"/>
    <cacheHierarchy uniqueName="[sales].[total sales]" caption="total sales" attribute="1" defaultMemberUniqueName="[sales].[total sales].[All]" allUniqueName="[sales].[total sales].[All]" dimensionUniqueName="[sales]" displayFolder="" count="2" memberValueDatatype="20" unbalanced="0"/>
    <cacheHierarchy uniqueName="[sales].[net total sales]" caption="net total sales" attribute="1" defaultMemberUniqueName="[sales].[net total sales].[All]" allUniqueName="[sales].[net total sales].[All]" dimensionUniqueName="[sales]" displayFolder="" count="2" memberValueDatatype="5" unbalanced="0"/>
    <cacheHierarchy uniqueName="[Total Targets 4 Years].[Customer ID]" caption="Customer ID" attribute="1" defaultMemberUniqueName="[Total Targets 4 Years].[Customer ID].[All]" allUniqueName="[Total Targets 4 Years].[Customer ID].[All]" dimensionUniqueName="[Total Targets 4 Years]" displayFolder="" count="2" memberValueDatatype="130" unbalanced="0"/>
    <cacheHierarchy uniqueName="[Total Targets 4 Years].[Attribute]" caption="Attribute" attribute="1" defaultMemberUniqueName="[Total Targets 4 Years].[Attribute].[All]" allUniqueName="[Total Targets 4 Years].[Attribute].[All]" dimensionUniqueName="[Total Targets 4 Years]" displayFolder="" count="2" memberValueDatatype="130" unbalanced="0"/>
    <cacheHierarchy uniqueName="[Total Targets 4 Years].[target]" caption="target" attribute="1" defaultMemberUniqueName="[Total Targets 4 Years].[target].[All]" allUniqueName="[Total Targets 4 Years].[target].[All]" dimensionUniqueName="[Total Targets 4 Years]" displayFolder="" count="2" memberValueDatatype="20" unbalanced="0"/>
    <cacheHierarchy uniqueName="[Measures].[net amount]" caption="net amount" measure="1" displayFolder="" measureGroup="sales" count="0"/>
    <cacheHierarchy uniqueName="[Measures].[totalsales]" caption="totalsales" measure="1" displayFolder="" measureGroup="sales" count="0"/>
    <cacheHierarchy uniqueName="[Measures].[from]" caption="from" measure="1" displayFolder="" measureGroup="sales" count="0"/>
    <cacheHierarchy uniqueName="[Measures].[To]" caption="To" measure="1" displayFolder="" measureGroup="sales" count="0"/>
    <cacheHierarchy uniqueName="[Measures].[total cost]" caption="total cost" measure="1" displayFolder="" measureGroup="sales" count="0"/>
    <cacheHierarchy uniqueName="[Measures].[profit]" caption="profit" measure="1" displayFolder="" measureGroup="sales" count="0"/>
    <cacheHierarchy uniqueName="[Measures].[margine]" caption="margine" measure="1" displayFolder="" measureGroup="sales" count="0"/>
    <cacheHierarchy uniqueName="[Measures].[sply]" caption="sply" measure="1" displayFolder="" measureGroup="sales" count="0"/>
    <cacheHierarchy uniqueName="[Measures].[Gross rate]" caption="Gross rate" measure="1" displayFolder="" measureGroup="sales" count="0"/>
    <cacheHierarchy uniqueName="[Measures].[total qty]" caption="total qty" measure="1" displayFolder="" measureGroup="sales" count="0"/>
    <cacheHierarchy uniqueName="[Measures].[Top Product]" caption="Top Product" measure="1" displayFolder="" measureGroup="sales" count="0"/>
    <cacheHierarchy uniqueName="[Measures].[__XL_Count sales]" caption="__XL_Count sales" measure="1" displayFolder="" measureGroup="sales" count="0" hidden="1"/>
    <cacheHierarchy uniqueName="[Measures].[__XL_Count Customer Data]" caption="__XL_Count Customer Data" measure="1" displayFolder="" measureGroup="Customer Data" count="0" hidden="1"/>
    <cacheHierarchy uniqueName="[Measures].[__XL_Count Price List]" caption="__XL_Count Price List" measure="1" displayFolder="" measureGroup="Price List" count="0" hidden="1"/>
    <cacheHierarchy uniqueName="[Measures].[__XL_Count Item Cost]" caption="__XL_Count Item Cost" measure="1" displayFolder="" measureGroup="Item Cost" count="0" hidden="1"/>
    <cacheHierarchy uniqueName="[Measures].[__XL_Count Total Targets 4 Years]" caption="__XL_Count Total Targets 4 Years" measure="1" displayFolder="" measureGroup="Total Targets 4 Yea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s]" caption="Sum of total sales" measure="1" displayFolder="" measureGroup="sales" count="0" hidden="1">
      <extLst>
        <ext xmlns:x15="http://schemas.microsoft.com/office/spreadsheetml/2010/11/main" uri="{B97F6D7D-B522-45F9-BDA1-12C45D357490}">
          <x15:cacheHierarchy aggregatedColumn="34"/>
        </ext>
      </extLst>
    </cacheHierarchy>
    <cacheHierarchy uniqueName="[Measures].[Sum of target]" caption="Sum of target" measure="1" displayFolder="" measureGroup="Total Targets 4 Years" count="0" hidden="1">
      <extLst>
        <ext xmlns:x15="http://schemas.microsoft.com/office/spreadsheetml/2010/11/main" uri="{B97F6D7D-B522-45F9-BDA1-12C45D357490}">
          <x15:cacheHierarchy aggregatedColumn="38"/>
        </ext>
      </extLst>
    </cacheHierarchy>
  </cacheHierarchies>
  <kpis count="0"/>
  <dimensions count="7">
    <dimension name="Calendar" uniqueName="[Calendar]" caption="Calendar"/>
    <dimension name="Customer Data" uniqueName="[Customer Data]" caption="Customer Data"/>
    <dimension name="Item Cost" uniqueName="[Item Cost]" caption="Item Cost"/>
    <dimension measure="1" name="Measures" uniqueName="[Measures]" caption="Measures"/>
    <dimension name="Price List" uniqueName="[Price List]" caption="Price List"/>
    <dimension name="sales" uniqueName="[sales]" caption="sales"/>
    <dimension name="Total Targets 4 Years" uniqueName="[Total Targets 4 Years]" caption="Total Targets 4 Years"/>
  </dimensions>
  <measureGroups count="6">
    <measureGroup name="Calendar" caption="Calendar"/>
    <measureGroup name="Customer Data" caption="Customer Data"/>
    <measureGroup name="Item Cost" caption="Item Cost"/>
    <measureGroup name="Price List" caption="Price List"/>
    <measureGroup name="sales" caption="sales"/>
    <measureGroup name="Total Targets 4 Years" caption="Total Targets 4 Years"/>
  </measureGroups>
  <maps count="12">
    <map measureGroup="0" dimension="0"/>
    <map measureGroup="1" dimension="1"/>
    <map measureGroup="2" dimension="2"/>
    <map measureGroup="3" dimension="2"/>
    <map measureGroup="3" dimension="4"/>
    <map measureGroup="4" dimension="0"/>
    <map measureGroup="4" dimension="1"/>
    <map measureGroup="4" dimension="2"/>
    <map measureGroup="4" dimension="4"/>
    <map measureGroup="4" dimension="5"/>
    <map measureGroup="5" dimension="1"/>
    <map measureGroup="5" dimension="6"/>
  </maps>
  <extLst>
    <ext xmlns:x14="http://schemas.microsoft.com/office/spreadsheetml/2009/9/main" uri="{725AE2AE-9491-48be-B2B4-4EB974FC3084}">
      <x14:pivotCacheDefinition slicerData="1" pivotCacheId="2361051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CFC28C-93B4-4268-8A7B-27BBA18481B1}" name="PivotTable3" cacheId="7" applyNumberFormats="0" applyBorderFormats="0" applyFontFormats="0" applyPatternFormats="0" applyAlignmentFormats="0" applyWidthHeightFormats="1" dataCaption="Values" tag="4d144abd-9ed2-42e5-a7d2-5e967c768708" updatedVersion="8" minRefreshableVersion="3" useAutoFormatting="1" subtotalHiddenItems="1" itemPrintTitles="1" createdVersion="8" indent="0" outline="1" outlineData="1" multipleFieldFilters="0" chartFormat="17">
  <location ref="A5:C1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0" count="1" selected="0">
            <x v="1"/>
          </reference>
        </references>
      </pivotArea>
    </chartFormat>
    <chartFormat chart="6" format="7">
      <pivotArea type="data" outline="0" fieldPosition="0">
        <references count="2">
          <reference field="4294967294" count="1" selected="0">
            <x v="1"/>
          </reference>
          <reference field="0" count="1" selected="0">
            <x v="3"/>
          </reference>
        </references>
      </pivotArea>
    </chartFormat>
  </chartFormats>
  <pivotHierarchies count="5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071C63-0AE0-4444-95FB-89E5F88D63F4}" name="PivotTable1" cacheId="6" applyNumberFormats="0" applyBorderFormats="0" applyFontFormats="0" applyPatternFormats="0" applyAlignmentFormats="0" applyWidthHeightFormats="1" dataCaption="Values" tag="27d3c391-d69d-49ae-abe5-bf338ee03448" updatedVersion="8" minRefreshableVersion="3" useAutoFormatting="1" subtotalHiddenItems="1" itemPrintTitles="1" createdVersion="8" indent="0" outline="1" outlineData="1" multipleFieldFilters="0">
  <location ref="A1:J2"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s>
  <pivotHierarchies count="5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80EB5-A5CA-47C8-9E84-CD27DE89EB79}" name="PivotTable6" cacheId="10" applyNumberFormats="0" applyBorderFormats="0" applyFontFormats="0" applyPatternFormats="0" applyAlignmentFormats="0" applyWidthHeightFormats="1" dataCaption="Values" tag="353c3ef0-7c0a-4d2c-aee5-860e948c6747" updatedVersion="8" minRefreshableVersion="3" useAutoFormatting="1" subtotalHiddenItems="1" itemPrintTitles="1" createdVersion="8" indent="0" outline="1" outlineData="1" multipleFieldFilters="0" chartFormat="8">
  <location ref="K5:L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5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9700C-3C97-4BF2-B1C3-93B8B9E7FBB3}" name="PivotTable5" cacheId="9" applyNumberFormats="0" applyBorderFormats="0" applyFontFormats="0" applyPatternFormats="0" applyAlignmentFormats="0" applyWidthHeightFormats="1" dataCaption="Values" tag="20f52fb8-383f-462a-905b-60ecaca03279" updatedVersion="8" minRefreshableVersion="3" useAutoFormatting="1" subtotalHiddenItems="1" itemPrintTitles="1" createdVersion="8" indent="0" outline="1" outlineData="1" multipleFieldFilters="0" chartFormat="9">
  <location ref="G5:I36" firstHeaderRow="0"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fld="1" subtotal="count" baseField="0" baseItem="0"/>
    <dataField name="Sum of target" fld="2" baseField="0" baseItem="0" numFmtId="3"/>
  </dataField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24"/>
          </reference>
        </references>
      </pivotArea>
    </chartFormat>
    <chartFormat chart="3" format="7">
      <pivotArea type="data" outline="0" fieldPosition="0">
        <references count="2">
          <reference field="4294967294" count="1" selected="0">
            <x v="1"/>
          </reference>
          <reference field="0" count="1" selected="0">
            <x v="28"/>
          </reference>
        </references>
      </pivotArea>
    </chartFormat>
    <chartFormat chart="3" format="8">
      <pivotArea type="data" outline="0" fieldPosition="0">
        <references count="2">
          <reference field="4294967294" count="1" selected="0">
            <x v="1"/>
          </reference>
          <reference field="0" count="1" selected="0">
            <x v="29"/>
          </reference>
        </references>
      </pivotArea>
    </chartFormat>
    <chartFormat chart="3" format="9">
      <pivotArea type="data" outline="0" fieldPosition="0">
        <references count="2">
          <reference field="4294967294" count="1" selected="0">
            <x v="0"/>
          </reference>
          <reference field="0" count="1" selected="0">
            <x v="28"/>
          </reference>
        </references>
      </pivotArea>
    </chartFormat>
    <chartFormat chart="3" format="10">
      <pivotArea type="data" outline="0" fieldPosition="0">
        <references count="2">
          <reference field="4294967294" count="1" selected="0">
            <x v="0"/>
          </reference>
          <reference field="0" count="1" selected="0">
            <x v="29"/>
          </reference>
        </references>
      </pivotArea>
    </chartFormat>
  </chartFormats>
  <pivotHierarchies count="5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Data]"/>
        <x15:activeTabTopLevelEntity name="[sales]"/>
        <x15:activeTabTopLevelEntity name="[Total Targets 4 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D3B88-7411-4E8E-840A-CA6462774927}" name="PivotTable4" cacheId="8" applyNumberFormats="0" applyBorderFormats="0" applyFontFormats="0" applyPatternFormats="0" applyAlignmentFormats="0" applyWidthHeightFormats="1" dataCaption="Values" tag="48538290-db4a-4db6-bae2-69faaeeaccbd" updatedVersion="8" minRefreshableVersion="3" useAutoFormatting="1" subtotalHiddenItems="1" itemPrintTitles="1" createdVersion="8" indent="0" outline="1" outlineData="1" multipleFieldFilters="0" chartFormat="11">
  <location ref="A13:C1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5">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3"/>
          </reference>
        </references>
      </pivotArea>
    </chartFormat>
    <chartFormat chart="3" format="7">
      <pivotArea type="data" outline="0" fieldPosition="0">
        <references count="2">
          <reference field="4294967294" count="1" selected="0">
            <x v="1"/>
          </reference>
          <reference field="0" count="1" selected="0">
            <x v="1"/>
          </reference>
        </references>
      </pivotArea>
    </chartFormat>
    <chartFormat chart="3" format="8">
      <pivotArea type="data" outline="0" fieldPosition="0">
        <references count="2">
          <reference field="4294967294" count="1" selected="0">
            <x v="1"/>
          </reference>
          <reference field="0" count="1" selected="0">
            <x v="2"/>
          </reference>
        </references>
      </pivotArea>
    </chartFormat>
  </chartFormats>
  <pivotHierarchies count="5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ice 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81BC75B-1CAE-420B-865F-392785829AE8}" sourceName="[Customer Data].[Country]">
  <pivotTables>
    <pivotTable tabId="1" name="PivotTable1"/>
    <pivotTable tabId="1" name="PivotTable3"/>
    <pivotTable tabId="1" name="PivotTable4"/>
    <pivotTable tabId="1" name="PivotTable5"/>
    <pivotTable tabId="1" name="PivotTable6"/>
  </pivotTables>
  <data>
    <olap pivotCacheId="236105158">
      <levels count="2">
        <level uniqueName="[Customer Data].[Country].[(All)]" sourceCaption="(All)" count="0"/>
        <level uniqueName="[Customer Data].[Country].[Country]" sourceCaption="Country" count="20">
          <ranges>
            <range startItem="0">
              <i n="[Customer Data].[Country].&amp;[Algeria]" c="Algeria"/>
              <i n="[Customer Data].[Country].&amp;[Egypt]" c="Egypt"/>
              <i n="[Customer Data].[Country].&amp;[Greece]" c="Greece"/>
              <i n="[Customer Data].[Country].&amp;[India]" c="India"/>
              <i n="[Customer Data].[Country].&amp;[Indonesia]" c="Indonesia"/>
              <i n="[Customer Data].[Country].&amp;[Iraq]" c="Iraq"/>
              <i n="[Customer Data].[Country].&amp;[Kenya]" c="Kenya"/>
              <i n="[Customer Data].[Country].&amp;[Libya]" c="Libya"/>
              <i n="[Customer Data].[Country].&amp;[Malaysia]" c="Malaysia"/>
              <i n="[Customer Data].[Country].&amp;[Morocco]" c="Morocco"/>
              <i n="[Customer Data].[Country].&amp;[Palestine]" c="Palestine"/>
              <i n="[Customer Data].[Country].&amp;[Philippines]" c="Philippines"/>
              <i n="[Customer Data].[Country].&amp;[Romania]" c="Romania"/>
              <i n="[Customer Data].[Country].&amp;[Saudi Arabia]" c="Saudi Arabia"/>
              <i n="[Customer Data].[Country].&amp;[Somalia]" c="Somalia"/>
              <i n="[Customer Data].[Country].&amp;[Sudan]" c="Sudan"/>
              <i n="[Customer Data].[Country].&amp;[Syria]" c="Syria"/>
              <i n="[Customer Data].[Country].&amp;[Tunisia]" c="Tunisia"/>
              <i n="[Customer Data].[Country].&amp;[Turkey]" c="Turkey"/>
              <i n="[Customer Data].[Country].&amp;[Ukraine]" c="Ukraine"/>
            </range>
          </ranges>
        </level>
      </levels>
      <selections count="1">
        <selection n="[Customer Data].[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81C1096F-A3D5-49F5-90A9-D36CCD74928F}" sourceName="[Price List].[Item Name]">
  <pivotTables>
    <pivotTable tabId="1" name="PivotTable1"/>
    <pivotTable tabId="1" name="PivotTable3"/>
    <pivotTable tabId="1" name="PivotTable4"/>
    <pivotTable tabId="1" name="PivotTable5"/>
    <pivotTable tabId="1" name="PivotTable6"/>
  </pivotTables>
  <data>
    <olap pivotCacheId="236105158">
      <levels count="2">
        <level uniqueName="[Price List].[Item Name].[(All)]" sourceCaption="(All)" count="0"/>
        <level uniqueName="[Price List].[Item Name].[Item Name]" sourceCaption="Item Name" count="50">
          <ranges>
            <range startItem="0">
              <i n="[Price List].[Item Name].&amp;[Apple - MacBook Air Core i5]" c="Apple - MacBook Air Core i5"/>
              <i n="[Price List].[Item Name].&amp;[Apple - MacBook Pro Core i7]" c="Apple - MacBook Pro Core i7"/>
              <i n="[Price List].[Item Name].&amp;[Arzum Okka Coffee Maker]" c="Arzum Okka Coffee Maker"/>
              <i n="[Price List].[Item Name].&amp;[Beko - Gas Cooker - 5 Burners]" c="Beko - Gas Cooker - 5 Burners"/>
              <i n="[Price List].[Item Name].&amp;[Bosch - Refrigerator 347 Ltr]" c="Bosch - Refrigerator 347 Ltr"/>
              <i n="[Price List].[Item Name].&amp;[Dell - Inspiron 14&quot; Core i3]" c="Dell - Inspiron 14&quot; Core i3"/>
              <i n="[Price List].[Item Name].&amp;[Dell - Inspiron 15&quot; Core i7]" c="Dell - Inspiron 15&quot; Core i7"/>
              <i n="[Price List].[Item Name].&amp;[HP - 14&quot; Core i7]" c="HP - 14&quot; Core i7"/>
              <i n="[Price List].[Item Name].&amp;[HP - 15.6&quot; Core i3]" c="HP - 15.6&quot; Core i3"/>
              <i n="[Price List].[Item Name].&amp;[Huawei gr3]" c="Huawei gr3"/>
              <i n="[Price List].[Item Name].&amp;[Huawei Nova 7]" c="Huawei Nova 7"/>
              <i n="[Price List].[Item Name].&amp;[Huawei Y9]" c="Huawei Y9"/>
              <i n="[Price List].[Item Name].&amp;[Iphone 6s]" c="Iphone 6s"/>
              <i n="[Price List].[Item Name].&amp;[Iphone 6s +]" c="Iphone 6s +"/>
              <i n="[Price List].[Item Name].&amp;[Iphone 7]" c="Iphone 7"/>
              <i n="[Price List].[Item Name].&amp;[Iphone 7 +]" c="Iphone 7 +"/>
              <i n="[Price List].[Item Name].&amp;[La Germania - Gas Cooker - 5 Burners]" c="La Germania - Gas Cooker - 5 Burners"/>
              <i n="[Price List].[Item Name].&amp;[Lenovo - Ideapad 14&quot; Core i5]" c="Lenovo - Ideapad 14&quot; Core i5"/>
              <i n="[Price List].[Item Name].&amp;[Lenovo - Ideapad 15.6&quot; core i7]" c="Lenovo - Ideapad 15.6&quot; core i7"/>
              <i n="[Price List].[Item Name].&amp;[LG - Air Conditioner - inverter]" c="LG - Air Conditioner - inverter"/>
              <i n="[Price List].[Item Name].&amp;[LG - Air Conditioner - Normal]" c="LG - Air Conditioner - Normal"/>
              <i n="[Price List].[Item Name].&amp;[LG - Microwave 23 Ltr]" c="LG - Microwave 23 Ltr"/>
              <i n="[Price List].[Item Name].&amp;[LG - Microwave 28 Ltr]" c="LG - Microwave 28 Ltr"/>
              <i n="[Price List].[Item Name].&amp;[LG - Refrigerator 360 Ltr]" c="LG - Refrigerator 360 Ltr"/>
              <i n="[Price List].[Item Name].&amp;[LG - Refrigerator 420 Ltr]" c="LG - Refrigerator 420 Ltr"/>
              <i n="[Price List].[Item Name].&amp;[LG - TV 32&quot; LED]" c="LG - TV 32&quot; LED"/>
              <i n="[Price List].[Item Name].&amp;[LG - TV 43&quot; LED]" c="LG - TV 43&quot; LED"/>
              <i n="[Price List].[Item Name].&amp;[Philips - Espresso Maker]" c="Philips - Espresso Maker"/>
              <i n="[Price List].[Item Name].&amp;[Samsung - Microwave 23 Ltr]" c="Samsung - Microwave 23 Ltr"/>
              <i n="[Price List].[Item Name].&amp;[Samsung - Microwave 28 Ltr]" c="Samsung - Microwave 28 Ltr"/>
              <i n="[Price List].[Item Name].&amp;[Samsung - Refrigerator 335 Ltr]" c="Samsung - Refrigerator 335 Ltr"/>
              <i n="[Price List].[Item Name].&amp;[Samsung - Refrigerator 473 Ltr]" c="Samsung - Refrigerator 473 Ltr"/>
              <i n="[Price List].[Item Name].&amp;[samsung J3]" c="samsung J3"/>
              <i n="[Price List].[Item Name].&amp;[samsung J5]" c="samsung J5"/>
              <i n="[Price List].[Item Name].&amp;[samsung J7]" c="samsung J7"/>
              <i n="[Price List].[Item Name].&amp;[samsung s7]" c="samsung s7"/>
              <i n="[Price List].[Item Name].&amp;[samsung s8]" c="samsung s8"/>
              <i n="[Price List].[Item Name].&amp;[Sharp - Air Conditioner - Inverter]" c="Sharp - Air Conditioner - Inverter"/>
              <i n="[Price List].[Item Name].&amp;[Sharp - Air Conditioner - Normal]" c="Sharp - Air Conditioner - Normal"/>
              <i n="[Price List].[Item Name].&amp;[Sony - TV 32&quot; LED]" c="Sony - TV 32&quot; LED"/>
              <i n="[Price List].[Item Name].&amp;[Sony - TV 43&quot; LED]" c="Sony - TV 43&quot; LED"/>
              <i n="[Price List].[Item Name].&amp;[Sumsung - TV 32&quot; LED]" c="Sumsung - TV 32&quot; LED"/>
              <i n="[Price List].[Item Name].&amp;[Sumsung - TV 43&quot; LED]" c="Sumsung - TV 43&quot; LED"/>
              <i n="[Price List].[Item Name].&amp;[Toshiba - 14&quot; Core i7]" c="Toshiba - 14&quot; Core i7"/>
              <i n="[Price List].[Item Name].&amp;[Toshiba - 15.6&quot; Core i5]" c="Toshiba - 15.6&quot; Core i5"/>
              <i n="[Price List].[Item Name].&amp;[Toshiba - Air Conditioner - Inverter]" c="Toshiba - Air Conditioner - Inverter"/>
              <i n="[Price List].[Item Name].&amp;[Toshiba - Air Conditioner - Normal]" c="Toshiba - Air Conditioner - Normal"/>
              <i n="[Price List].[Item Name].&amp;[Toshiba - TV 32&quot; LED]" c="Toshiba - TV 32&quot; LED"/>
              <i n="[Price List].[Item Name].&amp;[Toshiba - TV 43&quot; LED]" c="Toshiba - TV 43&quot; LED"/>
              <i n="[Price List].[Item Name].&amp;[Universal - Gas Cooker - 5 Burners]" c="Universal - Gas Cooker - 5 Burners"/>
            </range>
          </ranges>
        </level>
      </levels>
      <selections count="1">
        <selection n="[Price List].[Item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A367D97E-88FB-4DB8-824B-B9DF06FA01E1}" sourceName="[Calendar].[Date Hierarchy]">
  <pivotTables>
    <pivotTable tabId="1" name="PivotTable1"/>
    <pivotTable tabId="1" name="PivotTable3"/>
    <pivotTable tabId="1" name="PivotTable4"/>
    <pivotTable tabId="1" name="PivotTable5"/>
    <pivotTable tabId="1" name="PivotTable6"/>
  </pivotTables>
  <data>
    <olap pivotCacheId="236105158">
      <levels count="4">
        <level uniqueName="[Calendar].[Date Hierarchy].[(All)]" sourceCaption="(All)" count="0"/>
        <level uniqueName="[Calendar].[Date Hierarchy].[Year]" sourceCaption="Year" count="4">
          <ranges>
            <range startItem="0">
              <i n="[Calendar].[Date Hierarchy].[Year].&amp;[2019]" c="2019"/>
              <i n="[Calendar].[Date Hierarchy].[Year].&amp;[2020]" c="2020"/>
              <i n="[Calendar].[Date Hierarchy].[Year].&amp;[2021]" c="2021"/>
              <i n="[Calendar].[Date Hierarchy].[Year].&amp;[2022]" c="2022"/>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E8B26E6-A7BE-4C47-A423-785C5710C5D1}" cache="Slicer_Country" caption="Country" level="1" style="SlicerStyleDark1" rowHeight="247650"/>
  <slicer name="Item Name" xr10:uid="{D0A02A74-3E09-42D7-9E9F-AACC3CD1D79C}" cache="Slicer_Item_Name" caption="Item Name" level="1" style="SlicerStyleDark1" rowHeight="247650"/>
  <slicer name="Year" xr10:uid="{2700EFA1-9E66-4BC6-A43E-3E0AA1C9F2CB}" cache="Slicer_Date_Hierarchy" caption="Year" columnCount="2" level="1"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9D83-70B9-476F-B104-BAD3FA4B679F}">
  <dimension ref="A1:L36"/>
  <sheetViews>
    <sheetView tabSelected="1" workbookViewId="0">
      <selection activeCell="B4" sqref="B4"/>
    </sheetView>
  </sheetViews>
  <sheetFormatPr defaultRowHeight="14.4" x14ac:dyDescent="0.3"/>
  <cols>
    <col min="1" max="1" width="15.21875" bestFit="1" customWidth="1"/>
    <col min="2" max="2" width="11.109375" bestFit="1" customWidth="1"/>
    <col min="3" max="3" width="10.33203125" bestFit="1" customWidth="1"/>
    <col min="4" max="4" width="11.109375" bestFit="1" customWidth="1"/>
    <col min="5" max="5" width="10.109375" bestFit="1" customWidth="1"/>
    <col min="6" max="6" width="7.77734375" bestFit="1" customWidth="1"/>
    <col min="7" max="7" width="19.77734375" bestFit="1" customWidth="1"/>
    <col min="8" max="8" width="11.109375" bestFit="1" customWidth="1"/>
    <col min="9" max="9" width="11.88671875" bestFit="1" customWidth="1"/>
    <col min="10" max="10" width="7.88671875" bestFit="1" customWidth="1"/>
    <col min="11" max="11" width="12.44140625" bestFit="1" customWidth="1"/>
    <col min="12" max="12" width="11.109375" bestFit="1" customWidth="1"/>
  </cols>
  <sheetData>
    <row r="1" spans="1:12" x14ac:dyDescent="0.3">
      <c r="A1" t="s">
        <v>0</v>
      </c>
      <c r="B1" t="s">
        <v>1</v>
      </c>
      <c r="C1" t="s">
        <v>2</v>
      </c>
      <c r="D1" t="s">
        <v>3</v>
      </c>
      <c r="E1" t="s">
        <v>4</v>
      </c>
      <c r="F1" t="s">
        <v>5</v>
      </c>
      <c r="G1" t="s">
        <v>6</v>
      </c>
      <c r="H1" t="s">
        <v>7</v>
      </c>
      <c r="I1" t="s">
        <v>9</v>
      </c>
      <c r="J1" t="s">
        <v>8</v>
      </c>
    </row>
    <row r="2" spans="1:12" x14ac:dyDescent="0.3">
      <c r="A2" s="1">
        <v>340856319</v>
      </c>
      <c r="B2" s="2">
        <v>43466</v>
      </c>
      <c r="C2" s="2">
        <v>44926</v>
      </c>
      <c r="D2" s="1">
        <v>283436350</v>
      </c>
      <c r="E2" s="1">
        <v>57419969</v>
      </c>
      <c r="F2" s="3">
        <v>0.1684579859585939</v>
      </c>
      <c r="G2" s="1">
        <v>239986371</v>
      </c>
      <c r="H2" s="4">
        <v>0.42031531865615818</v>
      </c>
      <c r="I2" t="s">
        <v>10</v>
      </c>
      <c r="J2" s="1">
        <v>821170</v>
      </c>
    </row>
    <row r="5" spans="1:12" x14ac:dyDescent="0.3">
      <c r="A5" s="5" t="s">
        <v>12</v>
      </c>
      <c r="B5" t="s">
        <v>0</v>
      </c>
      <c r="C5" t="s">
        <v>7</v>
      </c>
      <c r="G5" s="5" t="s">
        <v>12</v>
      </c>
      <c r="H5" t="s">
        <v>0</v>
      </c>
      <c r="I5" t="s">
        <v>47</v>
      </c>
      <c r="K5" s="5" t="s">
        <v>12</v>
      </c>
      <c r="L5" t="s">
        <v>0</v>
      </c>
    </row>
    <row r="6" spans="1:12" x14ac:dyDescent="0.3">
      <c r="A6" s="6">
        <v>2019</v>
      </c>
      <c r="B6" s="1">
        <v>71362809</v>
      </c>
      <c r="C6" s="4"/>
      <c r="G6" s="6" t="s">
        <v>17</v>
      </c>
      <c r="H6" s="1">
        <v>8192035</v>
      </c>
      <c r="I6" s="1">
        <v>8500000</v>
      </c>
      <c r="K6" s="6" t="s">
        <v>48</v>
      </c>
      <c r="L6" s="1">
        <v>52705325</v>
      </c>
    </row>
    <row r="7" spans="1:12" x14ac:dyDescent="0.3">
      <c r="A7" s="6">
        <v>2020</v>
      </c>
      <c r="B7" s="1">
        <v>85420938</v>
      </c>
      <c r="C7" s="4">
        <v>0.19699517433513583</v>
      </c>
      <c r="D7" s="2"/>
      <c r="G7" s="6" t="s">
        <v>18</v>
      </c>
      <c r="H7" s="1">
        <v>11326536</v>
      </c>
      <c r="I7" s="1">
        <v>11750000</v>
      </c>
      <c r="K7" s="6" t="s">
        <v>49</v>
      </c>
      <c r="L7" s="1">
        <v>62208698</v>
      </c>
    </row>
    <row r="8" spans="1:12" x14ac:dyDescent="0.3">
      <c r="A8" s="6">
        <v>2021</v>
      </c>
      <c r="B8" s="1">
        <v>83202624</v>
      </c>
      <c r="C8" s="4">
        <v>-2.5969206753501114E-2</v>
      </c>
      <c r="G8" s="6" t="s">
        <v>19</v>
      </c>
      <c r="H8" s="1">
        <v>11347895</v>
      </c>
      <c r="I8" s="1">
        <v>11750000</v>
      </c>
      <c r="K8" s="6" t="s">
        <v>50</v>
      </c>
      <c r="L8" s="1">
        <v>98984646</v>
      </c>
    </row>
    <row r="9" spans="1:12" x14ac:dyDescent="0.3">
      <c r="A9" s="6">
        <v>2022</v>
      </c>
      <c r="B9" s="1">
        <v>100869948</v>
      </c>
      <c r="C9" s="4">
        <v>0.21234094732396902</v>
      </c>
      <c r="G9" s="6" t="s">
        <v>20</v>
      </c>
      <c r="H9" s="1">
        <v>22710111</v>
      </c>
      <c r="I9" s="1">
        <v>23250000</v>
      </c>
      <c r="K9" s="6" t="s">
        <v>51</v>
      </c>
      <c r="L9" s="1">
        <v>126957650</v>
      </c>
    </row>
    <row r="10" spans="1:12" x14ac:dyDescent="0.3">
      <c r="A10" s="6" t="s">
        <v>11</v>
      </c>
      <c r="B10" s="1">
        <v>340856319</v>
      </c>
      <c r="C10" s="4">
        <v>0.42031531865615818</v>
      </c>
      <c r="G10" s="6" t="s">
        <v>21</v>
      </c>
      <c r="H10" s="1">
        <v>5714169</v>
      </c>
      <c r="I10" s="1">
        <v>6250000</v>
      </c>
      <c r="K10" s="6" t="s">
        <v>11</v>
      </c>
      <c r="L10" s="1">
        <v>340856319</v>
      </c>
    </row>
    <row r="11" spans="1:12" x14ac:dyDescent="0.3">
      <c r="G11" s="6" t="s">
        <v>22</v>
      </c>
      <c r="H11" s="1">
        <v>6507187</v>
      </c>
      <c r="I11" s="1">
        <v>7000000</v>
      </c>
    </row>
    <row r="12" spans="1:12" x14ac:dyDescent="0.3">
      <c r="G12" s="6" t="s">
        <v>23</v>
      </c>
      <c r="H12" s="1">
        <v>10403931</v>
      </c>
      <c r="I12" s="1">
        <v>10750000</v>
      </c>
    </row>
    <row r="13" spans="1:12" x14ac:dyDescent="0.3">
      <c r="A13" s="5" t="s">
        <v>12</v>
      </c>
      <c r="B13" t="s">
        <v>0</v>
      </c>
      <c r="C13" t="s">
        <v>5</v>
      </c>
      <c r="G13" s="6" t="s">
        <v>24</v>
      </c>
      <c r="H13" s="1">
        <v>17996899</v>
      </c>
      <c r="I13" s="1">
        <v>18250000</v>
      </c>
    </row>
    <row r="14" spans="1:12" x14ac:dyDescent="0.3">
      <c r="A14" s="6" t="s">
        <v>13</v>
      </c>
      <c r="B14" s="1">
        <v>57905920</v>
      </c>
      <c r="C14" s="3">
        <v>0.18243592364994807</v>
      </c>
      <c r="G14" s="6" t="s">
        <v>25</v>
      </c>
      <c r="H14" s="1">
        <v>6094803</v>
      </c>
      <c r="I14" s="1">
        <v>6750000</v>
      </c>
    </row>
    <row r="15" spans="1:12" x14ac:dyDescent="0.3">
      <c r="A15" s="6" t="s">
        <v>14</v>
      </c>
      <c r="B15" s="1">
        <v>146093299</v>
      </c>
      <c r="C15" s="3">
        <v>0.14944216572178304</v>
      </c>
      <c r="G15" s="6" t="s">
        <v>26</v>
      </c>
      <c r="H15" s="1">
        <v>6466271</v>
      </c>
      <c r="I15" s="1">
        <v>7000000</v>
      </c>
    </row>
    <row r="16" spans="1:12" x14ac:dyDescent="0.3">
      <c r="A16" s="6" t="s">
        <v>15</v>
      </c>
      <c r="B16" s="1">
        <v>91153088</v>
      </c>
      <c r="C16" s="3">
        <v>0.17254915159868198</v>
      </c>
      <c r="G16" s="6" t="s">
        <v>27</v>
      </c>
      <c r="H16" s="1">
        <v>12883774</v>
      </c>
      <c r="I16" s="1">
        <v>13000000</v>
      </c>
    </row>
    <row r="17" spans="1:9" x14ac:dyDescent="0.3">
      <c r="A17" s="6" t="s">
        <v>16</v>
      </c>
      <c r="B17" s="1">
        <v>45704012</v>
      </c>
      <c r="C17" s="3">
        <v>0.20337299928942781</v>
      </c>
      <c r="G17" s="6" t="s">
        <v>28</v>
      </c>
      <c r="H17" s="1">
        <v>11882375</v>
      </c>
      <c r="I17" s="1">
        <v>12250000</v>
      </c>
    </row>
    <row r="18" spans="1:9" x14ac:dyDescent="0.3">
      <c r="A18" s="6" t="s">
        <v>11</v>
      </c>
      <c r="B18" s="1">
        <v>340856319</v>
      </c>
      <c r="C18" s="3">
        <v>0.1684579859585939</v>
      </c>
      <c r="G18" s="6" t="s">
        <v>29</v>
      </c>
      <c r="H18" s="1">
        <v>8870544</v>
      </c>
      <c r="I18" s="1">
        <v>9500000</v>
      </c>
    </row>
    <row r="19" spans="1:9" x14ac:dyDescent="0.3">
      <c r="G19" s="6" t="s">
        <v>30</v>
      </c>
      <c r="H19" s="1">
        <v>10084162</v>
      </c>
      <c r="I19" s="1">
        <v>10500000</v>
      </c>
    </row>
    <row r="20" spans="1:9" x14ac:dyDescent="0.3">
      <c r="G20" s="6" t="s">
        <v>31</v>
      </c>
      <c r="H20" s="1">
        <v>8926290</v>
      </c>
      <c r="I20" s="1">
        <v>9500000</v>
      </c>
    </row>
    <row r="21" spans="1:9" x14ac:dyDescent="0.3">
      <c r="G21" s="6" t="s">
        <v>32</v>
      </c>
      <c r="H21" s="1">
        <v>5316484</v>
      </c>
      <c r="I21" s="1">
        <v>5750000</v>
      </c>
    </row>
    <row r="22" spans="1:9" x14ac:dyDescent="0.3">
      <c r="G22" s="6" t="s">
        <v>33</v>
      </c>
      <c r="H22" s="1">
        <v>10374735</v>
      </c>
      <c r="I22" s="1">
        <v>11000000</v>
      </c>
    </row>
    <row r="23" spans="1:9" x14ac:dyDescent="0.3">
      <c r="G23" s="6" t="s">
        <v>34</v>
      </c>
      <c r="H23" s="1">
        <v>6280677</v>
      </c>
      <c r="I23" s="1">
        <v>6750000</v>
      </c>
    </row>
    <row r="24" spans="1:9" x14ac:dyDescent="0.3">
      <c r="G24" s="6" t="s">
        <v>35</v>
      </c>
      <c r="H24" s="1">
        <v>7489282</v>
      </c>
      <c r="I24" s="1">
        <v>8000000</v>
      </c>
    </row>
    <row r="25" spans="1:9" x14ac:dyDescent="0.3">
      <c r="G25" s="6" t="s">
        <v>36</v>
      </c>
      <c r="H25" s="1">
        <v>12218394</v>
      </c>
      <c r="I25" s="1">
        <v>12750000</v>
      </c>
    </row>
    <row r="26" spans="1:9" x14ac:dyDescent="0.3">
      <c r="G26" s="6" t="s">
        <v>37</v>
      </c>
      <c r="H26" s="1">
        <v>12610070</v>
      </c>
      <c r="I26" s="1">
        <v>13000000</v>
      </c>
    </row>
    <row r="27" spans="1:9" x14ac:dyDescent="0.3">
      <c r="G27" s="6" t="s">
        <v>38</v>
      </c>
      <c r="H27" s="1">
        <v>8028677</v>
      </c>
      <c r="I27" s="1">
        <v>8500000</v>
      </c>
    </row>
    <row r="28" spans="1:9" x14ac:dyDescent="0.3">
      <c r="G28" s="6" t="s">
        <v>39</v>
      </c>
      <c r="H28" s="1">
        <v>10374022</v>
      </c>
      <c r="I28" s="1">
        <v>11000000</v>
      </c>
    </row>
    <row r="29" spans="1:9" x14ac:dyDescent="0.3">
      <c r="G29" s="6" t="s">
        <v>40</v>
      </c>
      <c r="H29" s="1">
        <v>13262486</v>
      </c>
      <c r="I29" s="1">
        <v>13750000</v>
      </c>
    </row>
    <row r="30" spans="1:9" x14ac:dyDescent="0.3">
      <c r="G30" s="6" t="s">
        <v>41</v>
      </c>
      <c r="H30" s="1">
        <v>27550545</v>
      </c>
      <c r="I30" s="1">
        <v>28000000</v>
      </c>
    </row>
    <row r="31" spans="1:9" x14ac:dyDescent="0.3">
      <c r="G31" s="6" t="s">
        <v>42</v>
      </c>
      <c r="H31" s="1">
        <v>7124284</v>
      </c>
      <c r="I31" s="1">
        <v>7500000</v>
      </c>
    </row>
    <row r="32" spans="1:9" x14ac:dyDescent="0.3">
      <c r="G32" s="6" t="s">
        <v>43</v>
      </c>
      <c r="H32" s="1">
        <v>7643683</v>
      </c>
      <c r="I32" s="1">
        <v>8250000</v>
      </c>
    </row>
    <row r="33" spans="7:9" x14ac:dyDescent="0.3">
      <c r="G33" s="6" t="s">
        <v>44</v>
      </c>
      <c r="H33" s="1">
        <v>14516552</v>
      </c>
      <c r="I33" s="1">
        <v>14750000</v>
      </c>
    </row>
    <row r="34" spans="7:9" x14ac:dyDescent="0.3">
      <c r="G34" s="6" t="s">
        <v>45</v>
      </c>
      <c r="H34" s="1">
        <v>19276593</v>
      </c>
      <c r="I34" s="1">
        <v>19750000</v>
      </c>
    </row>
    <row r="35" spans="7:9" x14ac:dyDescent="0.3">
      <c r="G35" s="6" t="s">
        <v>46</v>
      </c>
      <c r="H35" s="1">
        <v>19382853</v>
      </c>
      <c r="I35" s="1">
        <v>19750000</v>
      </c>
    </row>
    <row r="36" spans="7:9" x14ac:dyDescent="0.3">
      <c r="G36" s="6" t="s">
        <v>11</v>
      </c>
      <c r="H36" s="1">
        <v>340856319</v>
      </c>
      <c r="I36" s="1">
        <v>354500000</v>
      </c>
    </row>
  </sheetData>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F2B7-A2E0-49B7-9CF0-D86E518511AC}">
  <dimension ref="A1:N36"/>
  <sheetViews>
    <sheetView zoomScale="80" zoomScaleNormal="80" workbookViewId="0">
      <selection activeCell="K1" sqref="K1"/>
    </sheetView>
  </sheetViews>
  <sheetFormatPr defaultRowHeight="14.4" x14ac:dyDescent="0.3"/>
  <cols>
    <col min="1" max="1" width="8.88671875" customWidth="1"/>
    <col min="4" max="4" width="33.5546875" customWidth="1"/>
    <col min="5" max="6" width="22.33203125" customWidth="1"/>
    <col min="7" max="7" width="23.33203125" customWidth="1"/>
    <col min="8" max="8" width="24.44140625" customWidth="1"/>
    <col min="9" max="9" width="24" customWidth="1"/>
    <col min="10" max="10" width="29.5546875" customWidth="1"/>
  </cols>
  <sheetData>
    <row r="1" spans="1:14" ht="15.6" x14ac:dyDescent="0.3">
      <c r="A1" s="14" t="s">
        <v>52</v>
      </c>
      <c r="B1" s="14"/>
      <c r="C1" s="14"/>
      <c r="D1" s="7" t="s">
        <v>53</v>
      </c>
      <c r="E1" s="7" t="s">
        <v>2</v>
      </c>
      <c r="F1" s="8" t="s">
        <v>54</v>
      </c>
      <c r="G1" s="8" t="s">
        <v>55</v>
      </c>
      <c r="H1" s="8" t="s">
        <v>56</v>
      </c>
      <c r="I1" s="8" t="s">
        <v>57</v>
      </c>
      <c r="J1" s="8" t="s">
        <v>9</v>
      </c>
      <c r="K1" s="9"/>
      <c r="L1" s="9"/>
      <c r="M1" s="9"/>
      <c r="N1" s="9"/>
    </row>
    <row r="2" spans="1:14" x14ac:dyDescent="0.3">
      <c r="A2" s="14"/>
      <c r="B2" s="14"/>
      <c r="C2" s="14"/>
      <c r="D2" s="10">
        <f>GETPIVOTDATA("[Measures].[from]",Sheet1!$A$1)</f>
        <v>43466</v>
      </c>
      <c r="E2" s="10">
        <f>Sheet1!C2</f>
        <v>44926</v>
      </c>
      <c r="F2" s="11">
        <f>GETPIVOTDATA("[Measures].[total qty]",Sheet1!$A$1)</f>
        <v>821170</v>
      </c>
      <c r="G2" s="11">
        <f>GETPIVOTDATA("[Measures].[net amount]",Sheet1!$A$1)</f>
        <v>340856319</v>
      </c>
      <c r="H2" s="12">
        <f>GETPIVOTDATA("[Measures].[profit]",Sheet1!$A$1)</f>
        <v>57419969</v>
      </c>
      <c r="I2" s="13">
        <f>GETPIVOTDATA("[Measures].[margine]",Sheet1!$A$1)</f>
        <v>0.1684579859585939</v>
      </c>
      <c r="J2" s="9" t="str">
        <f>GETPIVOTDATA("[Measures].[Top Product]",Sheet1!$A$1)</f>
        <v>HP - 14" Core i7</v>
      </c>
      <c r="K2" s="9"/>
      <c r="L2" s="9"/>
      <c r="M2" s="9"/>
      <c r="N2" s="9"/>
    </row>
    <row r="3" spans="1:14" x14ac:dyDescent="0.3">
      <c r="A3" s="14"/>
      <c r="B3" s="14"/>
      <c r="C3" s="14"/>
      <c r="D3" s="9"/>
      <c r="E3" s="9"/>
      <c r="F3" s="9"/>
      <c r="G3" s="9"/>
      <c r="H3" s="9"/>
      <c r="I3" s="9"/>
      <c r="J3" s="9"/>
      <c r="K3" s="9"/>
      <c r="L3" s="9"/>
      <c r="M3" s="9"/>
      <c r="N3" s="9"/>
    </row>
    <row r="4" spans="1:14" x14ac:dyDescent="0.3">
      <c r="A4" s="9"/>
      <c r="B4" s="9"/>
      <c r="C4" s="9"/>
      <c r="D4" s="9"/>
      <c r="E4" s="9"/>
      <c r="F4" s="9"/>
      <c r="G4" s="9"/>
      <c r="H4" s="9"/>
      <c r="I4" s="9"/>
      <c r="J4" s="9"/>
      <c r="K4" s="9"/>
      <c r="L4" s="9"/>
      <c r="M4" s="9"/>
      <c r="N4" s="9"/>
    </row>
    <row r="5" spans="1:14" x14ac:dyDescent="0.3">
      <c r="A5" s="9"/>
      <c r="B5" s="9"/>
      <c r="C5" s="9"/>
      <c r="D5" s="9"/>
      <c r="E5" s="9"/>
      <c r="F5" s="9"/>
      <c r="G5" s="9"/>
      <c r="H5" s="9"/>
      <c r="I5" s="9"/>
      <c r="J5" s="9"/>
      <c r="K5" s="9"/>
      <c r="L5" s="9"/>
      <c r="M5" s="9"/>
      <c r="N5" s="9"/>
    </row>
    <row r="6" spans="1:14" x14ac:dyDescent="0.3">
      <c r="A6" s="9"/>
      <c r="B6" s="9"/>
      <c r="C6" s="9"/>
      <c r="D6" s="9"/>
      <c r="E6" s="9"/>
      <c r="F6" s="9"/>
      <c r="G6" s="9"/>
      <c r="H6" s="9"/>
      <c r="I6" s="9"/>
      <c r="J6" s="9"/>
      <c r="K6" s="9"/>
      <c r="L6" s="9"/>
      <c r="M6" s="9"/>
      <c r="N6" s="9"/>
    </row>
    <row r="7" spans="1:14" x14ac:dyDescent="0.3">
      <c r="A7" s="9"/>
      <c r="B7" s="9"/>
      <c r="C7" s="9"/>
      <c r="D7" s="9"/>
      <c r="E7" s="9"/>
      <c r="F7" s="9"/>
      <c r="G7" s="9"/>
      <c r="H7" s="9"/>
      <c r="I7" s="9"/>
      <c r="J7" s="9"/>
      <c r="K7" s="9"/>
      <c r="L7" s="9"/>
      <c r="M7" s="9"/>
      <c r="N7" s="9"/>
    </row>
    <row r="8" spans="1:14" x14ac:dyDescent="0.3">
      <c r="A8" s="9"/>
      <c r="B8" s="9"/>
      <c r="C8" s="9"/>
      <c r="D8" s="9"/>
      <c r="E8" s="9"/>
      <c r="F8" s="9"/>
      <c r="G8" s="9"/>
      <c r="H8" s="9"/>
      <c r="I8" s="9"/>
      <c r="J8" s="9"/>
      <c r="K8" s="9"/>
      <c r="L8" s="9"/>
      <c r="M8" s="9"/>
      <c r="N8" s="9"/>
    </row>
    <row r="9" spans="1:14" x14ac:dyDescent="0.3">
      <c r="A9" s="9"/>
      <c r="B9" s="9"/>
      <c r="C9" s="9"/>
      <c r="D9" s="9"/>
      <c r="E9" s="9"/>
      <c r="F9" s="9"/>
      <c r="G9" s="9"/>
      <c r="H9" s="9"/>
      <c r="I9" s="9"/>
      <c r="J9" s="9"/>
      <c r="K9" s="9"/>
      <c r="L9" s="9"/>
      <c r="M9" s="9"/>
      <c r="N9" s="9"/>
    </row>
    <row r="10" spans="1:14" x14ac:dyDescent="0.3">
      <c r="A10" s="9"/>
      <c r="B10" s="9"/>
      <c r="C10" s="9"/>
      <c r="D10" s="9"/>
      <c r="E10" s="9"/>
      <c r="F10" s="9"/>
      <c r="G10" s="9"/>
      <c r="H10" s="9"/>
      <c r="I10" s="9"/>
      <c r="J10" s="9"/>
      <c r="K10" s="9"/>
      <c r="L10" s="9"/>
      <c r="M10" s="9"/>
      <c r="N10" s="9"/>
    </row>
    <row r="11" spans="1:14" x14ac:dyDescent="0.3">
      <c r="A11" s="9"/>
      <c r="B11" s="9"/>
      <c r="C11" s="9"/>
      <c r="D11" s="9"/>
      <c r="E11" s="9"/>
      <c r="F11" s="9"/>
      <c r="G11" s="9"/>
      <c r="H11" s="9"/>
      <c r="I11" s="9"/>
      <c r="J11" s="9"/>
      <c r="K11" s="9"/>
      <c r="L11" s="9"/>
      <c r="M11" s="9"/>
      <c r="N11" s="9"/>
    </row>
    <row r="12" spans="1:14" x14ac:dyDescent="0.3">
      <c r="A12" s="9"/>
      <c r="B12" s="9"/>
      <c r="C12" s="9"/>
      <c r="D12" s="9"/>
      <c r="E12" s="9"/>
      <c r="F12" s="9"/>
      <c r="G12" s="9"/>
      <c r="H12" s="9"/>
      <c r="I12" s="9"/>
      <c r="J12" s="9"/>
      <c r="K12" s="9"/>
      <c r="L12" s="9"/>
      <c r="M12" s="9"/>
      <c r="N12" s="9"/>
    </row>
    <row r="13" spans="1:14" x14ac:dyDescent="0.3">
      <c r="A13" s="9"/>
      <c r="B13" s="9"/>
      <c r="C13" s="9"/>
      <c r="D13" s="9"/>
      <c r="E13" s="9"/>
      <c r="F13" s="9"/>
      <c r="G13" s="9"/>
      <c r="H13" s="9"/>
      <c r="I13" s="9"/>
      <c r="J13" s="9"/>
      <c r="K13" s="9"/>
      <c r="L13" s="9"/>
      <c r="M13" s="9"/>
      <c r="N13" s="9"/>
    </row>
    <row r="14" spans="1:14" x14ac:dyDescent="0.3">
      <c r="A14" s="9"/>
      <c r="B14" s="9"/>
      <c r="C14" s="9"/>
      <c r="D14" s="9"/>
      <c r="E14" s="9"/>
      <c r="F14" s="9"/>
      <c r="G14" s="9"/>
      <c r="H14" s="9"/>
      <c r="I14" s="9"/>
      <c r="J14" s="9"/>
      <c r="K14" s="9"/>
      <c r="L14" s="9"/>
      <c r="M14" s="9"/>
      <c r="N14" s="9"/>
    </row>
    <row r="15" spans="1:14" x14ac:dyDescent="0.3">
      <c r="A15" s="9"/>
      <c r="B15" s="9"/>
      <c r="C15" s="9"/>
      <c r="D15" s="9"/>
      <c r="E15" s="9"/>
      <c r="F15" s="9"/>
      <c r="G15" s="9"/>
      <c r="H15" s="9"/>
      <c r="I15" s="9"/>
      <c r="J15" s="9"/>
      <c r="K15" s="9"/>
      <c r="L15" s="9"/>
      <c r="M15" s="9"/>
      <c r="N15" s="9"/>
    </row>
    <row r="16" spans="1:14" x14ac:dyDescent="0.3">
      <c r="A16" s="9"/>
      <c r="B16" s="9"/>
      <c r="C16" s="9"/>
      <c r="D16" s="9"/>
      <c r="E16" s="9"/>
      <c r="F16" s="9"/>
      <c r="G16" s="9"/>
      <c r="H16" s="9"/>
      <c r="I16" s="9"/>
      <c r="J16" s="9"/>
      <c r="K16" s="9"/>
      <c r="L16" s="9"/>
      <c r="M16" s="9"/>
      <c r="N16" s="9"/>
    </row>
    <row r="17" spans="1:14" x14ac:dyDescent="0.3">
      <c r="A17" s="9"/>
      <c r="B17" s="9"/>
      <c r="C17" s="9"/>
      <c r="D17" s="9"/>
      <c r="E17" s="9"/>
      <c r="F17" s="9"/>
      <c r="G17" s="9"/>
      <c r="H17" s="9"/>
      <c r="I17" s="9"/>
      <c r="J17" s="9"/>
      <c r="K17" s="9"/>
      <c r="L17" s="9"/>
      <c r="M17" s="9"/>
      <c r="N17" s="9"/>
    </row>
    <row r="18" spans="1:14" x14ac:dyDescent="0.3">
      <c r="A18" s="9"/>
      <c r="B18" s="9"/>
      <c r="C18" s="9"/>
      <c r="D18" s="9"/>
      <c r="E18" s="9"/>
      <c r="F18" s="9"/>
      <c r="G18" s="9"/>
      <c r="H18" s="9"/>
      <c r="I18" s="9"/>
      <c r="J18" s="9"/>
      <c r="K18" s="9"/>
      <c r="L18" s="9"/>
      <c r="M18" s="9"/>
      <c r="N18" s="9"/>
    </row>
    <row r="19" spans="1:14" x14ac:dyDescent="0.3">
      <c r="A19" s="9"/>
      <c r="B19" s="9"/>
      <c r="C19" s="9"/>
      <c r="D19" s="9"/>
      <c r="E19" s="9"/>
      <c r="F19" s="9"/>
      <c r="G19" s="9"/>
      <c r="H19" s="9"/>
      <c r="I19" s="9"/>
      <c r="J19" s="9"/>
      <c r="K19" s="9"/>
      <c r="L19" s="9"/>
      <c r="M19" s="9"/>
      <c r="N19" s="9"/>
    </row>
    <row r="20" spans="1:14" x14ac:dyDescent="0.3">
      <c r="A20" s="9"/>
      <c r="B20" s="9"/>
      <c r="C20" s="9"/>
      <c r="D20" s="9"/>
      <c r="E20" s="9"/>
      <c r="F20" s="9"/>
      <c r="G20" s="9"/>
      <c r="H20" s="9"/>
      <c r="I20" s="9"/>
      <c r="J20" s="9"/>
      <c r="K20" s="9"/>
      <c r="L20" s="9"/>
      <c r="M20" s="9"/>
      <c r="N20" s="9"/>
    </row>
    <row r="21" spans="1:14" x14ac:dyDescent="0.3">
      <c r="A21" s="9"/>
      <c r="B21" s="9"/>
      <c r="C21" s="9"/>
      <c r="D21" s="9"/>
      <c r="E21" s="9"/>
      <c r="F21" s="9"/>
      <c r="G21" s="9"/>
      <c r="H21" s="9"/>
      <c r="I21" s="9"/>
      <c r="J21" s="9"/>
      <c r="K21" s="9"/>
      <c r="L21" s="9"/>
      <c r="M21" s="9"/>
      <c r="N21" s="9"/>
    </row>
    <row r="22" spans="1:14" x14ac:dyDescent="0.3">
      <c r="A22" s="9"/>
      <c r="B22" s="9"/>
      <c r="C22" s="9"/>
      <c r="D22" s="9"/>
      <c r="E22" s="9"/>
      <c r="F22" s="9"/>
      <c r="G22" s="9"/>
      <c r="H22" s="9"/>
      <c r="I22" s="9"/>
      <c r="J22" s="9"/>
      <c r="K22" s="9"/>
      <c r="L22" s="9"/>
      <c r="M22" s="9"/>
      <c r="N22" s="9"/>
    </row>
    <row r="23" spans="1:14" x14ac:dyDescent="0.3">
      <c r="A23" s="9"/>
      <c r="B23" s="9"/>
      <c r="C23" s="9"/>
      <c r="D23" s="9"/>
      <c r="E23" s="9"/>
      <c r="F23" s="9"/>
      <c r="G23" s="9"/>
      <c r="H23" s="9"/>
      <c r="I23" s="9"/>
      <c r="J23" s="9"/>
      <c r="K23" s="9"/>
      <c r="L23" s="9"/>
      <c r="M23" s="9"/>
      <c r="N23" s="9"/>
    </row>
    <row r="24" spans="1:14" x14ac:dyDescent="0.3">
      <c r="A24" s="9"/>
      <c r="B24" s="9"/>
      <c r="C24" s="9"/>
      <c r="D24" s="9"/>
      <c r="E24" s="9"/>
      <c r="F24" s="9"/>
      <c r="G24" s="9"/>
      <c r="H24" s="9"/>
      <c r="I24" s="9"/>
      <c r="J24" s="9"/>
      <c r="K24" s="9"/>
      <c r="L24" s="9"/>
      <c r="M24" s="9"/>
      <c r="N24" s="9"/>
    </row>
    <row r="25" spans="1:14" x14ac:dyDescent="0.3">
      <c r="A25" s="9"/>
      <c r="B25" s="9"/>
      <c r="C25" s="9"/>
      <c r="D25" s="9"/>
      <c r="E25" s="9"/>
      <c r="F25" s="9"/>
      <c r="G25" s="9"/>
      <c r="H25" s="9"/>
      <c r="I25" s="9"/>
      <c r="J25" s="9"/>
      <c r="K25" s="9"/>
      <c r="L25" s="9"/>
      <c r="M25" s="9"/>
      <c r="N25" s="9"/>
    </row>
    <row r="26" spans="1:14" x14ac:dyDescent="0.3">
      <c r="A26" s="9"/>
      <c r="B26" s="9"/>
      <c r="C26" s="9"/>
      <c r="D26" s="9"/>
      <c r="E26" s="9"/>
      <c r="F26" s="9"/>
      <c r="G26" s="9"/>
      <c r="H26" s="9"/>
      <c r="I26" s="9"/>
      <c r="J26" s="9"/>
      <c r="K26" s="9"/>
      <c r="L26" s="9"/>
      <c r="M26" s="9"/>
      <c r="N26" s="9"/>
    </row>
    <row r="27" spans="1:14" x14ac:dyDescent="0.3">
      <c r="A27" s="9"/>
      <c r="B27" s="9"/>
      <c r="C27" s="9"/>
      <c r="D27" s="9"/>
      <c r="E27" s="9"/>
      <c r="F27" s="9"/>
      <c r="G27" s="9"/>
      <c r="H27" s="9"/>
      <c r="I27" s="9"/>
      <c r="J27" s="9"/>
      <c r="K27" s="9"/>
      <c r="L27" s="9"/>
      <c r="M27" s="9"/>
      <c r="N27" s="9"/>
    </row>
    <row r="28" spans="1:14" x14ac:dyDescent="0.3">
      <c r="A28" s="9"/>
      <c r="B28" s="9"/>
      <c r="C28" s="9"/>
      <c r="D28" s="9"/>
      <c r="E28" s="9"/>
      <c r="F28" s="9"/>
      <c r="G28" s="9"/>
      <c r="H28" s="9"/>
      <c r="I28" s="9"/>
      <c r="J28" s="9"/>
      <c r="K28" s="9"/>
      <c r="L28" s="9"/>
      <c r="M28" s="9"/>
      <c r="N28" s="9"/>
    </row>
    <row r="29" spans="1:14" x14ac:dyDescent="0.3">
      <c r="A29" s="9"/>
      <c r="B29" s="9"/>
      <c r="C29" s="9"/>
      <c r="D29" s="9"/>
      <c r="E29" s="9"/>
      <c r="F29" s="9"/>
      <c r="G29" s="9"/>
      <c r="H29" s="9"/>
      <c r="I29" s="9"/>
      <c r="J29" s="9"/>
      <c r="K29" s="9"/>
      <c r="L29" s="9"/>
      <c r="M29" s="9"/>
      <c r="N29" s="9"/>
    </row>
    <row r="30" spans="1:14" x14ac:dyDescent="0.3">
      <c r="A30" s="9"/>
      <c r="B30" s="9"/>
      <c r="C30" s="9"/>
      <c r="D30" s="9"/>
      <c r="E30" s="9"/>
      <c r="F30" s="9"/>
      <c r="G30" s="9"/>
      <c r="H30" s="9"/>
      <c r="I30" s="9"/>
      <c r="J30" s="9"/>
      <c r="K30" s="9"/>
      <c r="L30" s="9"/>
      <c r="M30" s="9"/>
      <c r="N30" s="9"/>
    </row>
    <row r="31" spans="1:14" x14ac:dyDescent="0.3">
      <c r="A31" s="9"/>
      <c r="B31" s="9"/>
      <c r="C31" s="9"/>
      <c r="D31" s="9"/>
      <c r="E31" s="9"/>
      <c r="F31" s="9"/>
      <c r="G31" s="9"/>
      <c r="H31" s="9"/>
      <c r="I31" s="9"/>
      <c r="J31" s="9"/>
      <c r="K31" s="9"/>
      <c r="L31" s="9"/>
      <c r="M31" s="9"/>
      <c r="N31" s="9"/>
    </row>
    <row r="32" spans="1:14" x14ac:dyDescent="0.3">
      <c r="A32" s="9"/>
      <c r="B32" s="9"/>
      <c r="C32" s="9"/>
      <c r="D32" s="9"/>
      <c r="E32" s="9"/>
      <c r="F32" s="9"/>
      <c r="G32" s="9"/>
      <c r="H32" s="9"/>
      <c r="I32" s="9"/>
      <c r="J32" s="9"/>
      <c r="K32" s="9"/>
      <c r="L32" s="9"/>
      <c r="M32" s="9"/>
      <c r="N32" s="9"/>
    </row>
    <row r="33" spans="1:14" x14ac:dyDescent="0.3">
      <c r="A33" s="9"/>
      <c r="B33" s="9"/>
      <c r="C33" s="9"/>
      <c r="D33" s="9"/>
      <c r="E33" s="9"/>
      <c r="F33" s="9"/>
      <c r="G33" s="9"/>
      <c r="H33" s="9"/>
      <c r="I33" s="9"/>
      <c r="J33" s="9"/>
      <c r="K33" s="9"/>
      <c r="L33" s="9"/>
      <c r="M33" s="9"/>
      <c r="N33" s="9"/>
    </row>
    <row r="34" spans="1:14" x14ac:dyDescent="0.3">
      <c r="A34" s="9"/>
      <c r="B34" s="9"/>
      <c r="C34" s="9"/>
      <c r="D34" s="9"/>
      <c r="E34" s="9"/>
      <c r="F34" s="9"/>
      <c r="G34" s="9"/>
      <c r="H34" s="9"/>
      <c r="I34" s="9"/>
      <c r="J34" s="9"/>
      <c r="K34" s="9"/>
      <c r="L34" s="9"/>
      <c r="M34" s="9"/>
      <c r="N34" s="9"/>
    </row>
    <row r="35" spans="1:14" x14ac:dyDescent="0.3">
      <c r="A35" s="9"/>
      <c r="B35" s="9"/>
      <c r="C35" s="9"/>
      <c r="D35" s="9"/>
      <c r="E35" s="9"/>
      <c r="F35" s="9"/>
      <c r="G35" s="9"/>
      <c r="H35" s="9"/>
      <c r="I35" s="9"/>
      <c r="J35" s="9"/>
      <c r="K35" s="9"/>
      <c r="L35" s="9"/>
      <c r="M35" s="9"/>
      <c r="N35" s="9"/>
    </row>
    <row r="36" spans="1:14" x14ac:dyDescent="0.3">
      <c r="A36" s="9"/>
      <c r="B36" s="9"/>
      <c r="C36" s="9"/>
      <c r="D36" s="9"/>
      <c r="E36" s="9"/>
      <c r="F36" s="9"/>
      <c r="G36" s="9"/>
      <c r="H36" s="9"/>
      <c r="I36" s="9"/>
      <c r="J36" s="9"/>
      <c r="K36" s="9"/>
      <c r="L36" s="9"/>
      <c r="M36" s="9"/>
      <c r="N36" s="9"/>
    </row>
  </sheetData>
  <mergeCells count="1">
    <mergeCell ref="A1: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8604970-A391-4B71-9873-3B892E982F4E}">
  <ds:schemaRefs/>
</ds:datastoreItem>
</file>

<file path=customXml/itemProps2.xml><?xml version="1.0" encoding="utf-8"?>
<ds:datastoreItem xmlns:ds="http://schemas.openxmlformats.org/officeDocument/2006/customXml" ds:itemID="{A4828EBB-953D-4EFD-A7DF-4EDA8F06A825}">
  <ds:schemaRefs/>
</ds:datastoreItem>
</file>

<file path=customXml/itemProps3.xml><?xml version="1.0" encoding="utf-8"?>
<ds:datastoreItem xmlns:ds="http://schemas.openxmlformats.org/officeDocument/2006/customXml" ds:itemID="{DA630FB6-4E51-4A22-BC1A-9F85676AB3F1}">
  <ds:schemaRefs/>
</ds:datastoreItem>
</file>

<file path=customXml/itemProps4.xml><?xml version="1.0" encoding="utf-8"?>
<ds:datastoreItem xmlns:ds="http://schemas.openxmlformats.org/officeDocument/2006/customXml" ds:itemID="{047A5343-5609-41E7-A916-C2E8695890B5}">
  <ds:schemaRefs/>
</ds:datastoreItem>
</file>

<file path=customXml/itemProps5.xml><?xml version="1.0" encoding="utf-8"?>
<ds:datastoreItem xmlns:ds="http://schemas.openxmlformats.org/officeDocument/2006/customXml" ds:itemID="{E37C9F84-D355-45CA-B94B-423AD4B6A6A3}">
  <ds:schemaRefs/>
</ds:datastoreItem>
</file>

<file path=customXml/itemProps6.xml><?xml version="1.0" encoding="utf-8"?>
<ds:datastoreItem xmlns:ds="http://schemas.openxmlformats.org/officeDocument/2006/customXml" ds:itemID="{3443A338-908F-4413-8D41-5DE51042B603}">
  <ds:schemaRefs/>
</ds:datastoreItem>
</file>

<file path=customXml/itemProps7.xml><?xml version="1.0" encoding="utf-8"?>
<ds:datastoreItem xmlns:ds="http://schemas.openxmlformats.org/officeDocument/2006/customXml" ds:itemID="{929D4226-6DA7-4D93-A8EF-F00AC0AA5C5B}">
  <ds:schemaRefs/>
</ds:datastoreItem>
</file>

<file path=customXml/itemProps8.xml><?xml version="1.0" encoding="utf-8"?>
<ds:datastoreItem xmlns:ds="http://schemas.openxmlformats.org/officeDocument/2006/customXml" ds:itemID="{7BD0A3E9-ABB0-4891-A33A-F82B8174F7C1}">
  <ds:schemaRefs/>
</ds:datastoreItem>
</file>

<file path=customXml/itemProps9.xml><?xml version="1.0" encoding="utf-8"?>
<ds:datastoreItem xmlns:ds="http://schemas.openxmlformats.org/officeDocument/2006/customXml" ds:itemID="{AC76D052-D6B4-4D22-A3C1-B141A31E07F1}">
  <ds:schemaRefs/>
</ds:datastoreItem>
</file>

<file path=customXml/itemProps10.xml><?xml version="1.0" encoding="utf-8"?>
<ds:datastoreItem xmlns:ds="http://schemas.openxmlformats.org/officeDocument/2006/customXml" ds:itemID="{C3F1EEF8-090B-4F59-A94D-D326BCC3C337}">
  <ds:schemaRefs/>
</ds:datastoreItem>
</file>

<file path=customXml/itemProps11.xml><?xml version="1.0" encoding="utf-8"?>
<ds:datastoreItem xmlns:ds="http://schemas.openxmlformats.org/officeDocument/2006/customXml" ds:itemID="{0A825FF6-3F8C-45CD-91B1-4103CAEEE1F6}">
  <ds:schemaRefs/>
</ds:datastoreItem>
</file>

<file path=customXml/itemProps12.xml><?xml version="1.0" encoding="utf-8"?>
<ds:datastoreItem xmlns:ds="http://schemas.openxmlformats.org/officeDocument/2006/customXml" ds:itemID="{3A95A196-3DD2-46B0-9232-96EA36DDA39F}">
  <ds:schemaRefs/>
</ds:datastoreItem>
</file>

<file path=customXml/itemProps13.xml><?xml version="1.0" encoding="utf-8"?>
<ds:datastoreItem xmlns:ds="http://schemas.openxmlformats.org/officeDocument/2006/customXml" ds:itemID="{E7EB4D21-4A5D-44D3-B9D7-60FE4173E2B1}">
  <ds:schemaRefs/>
</ds:datastoreItem>
</file>

<file path=customXml/itemProps14.xml><?xml version="1.0" encoding="utf-8"?>
<ds:datastoreItem xmlns:ds="http://schemas.openxmlformats.org/officeDocument/2006/customXml" ds:itemID="{E7488341-FDD3-426C-8E67-2841978D2B61}">
  <ds:schemaRefs/>
</ds:datastoreItem>
</file>

<file path=customXml/itemProps15.xml><?xml version="1.0" encoding="utf-8"?>
<ds:datastoreItem xmlns:ds="http://schemas.openxmlformats.org/officeDocument/2006/customXml" ds:itemID="{10054006-C891-497E-971A-805934D07615}">
  <ds:schemaRefs/>
</ds:datastoreItem>
</file>

<file path=customXml/itemProps16.xml><?xml version="1.0" encoding="utf-8"?>
<ds:datastoreItem xmlns:ds="http://schemas.openxmlformats.org/officeDocument/2006/customXml" ds:itemID="{D5AD5A0C-E53B-4906-8E1F-4285DA7B341E}">
  <ds:schemaRefs/>
</ds:datastoreItem>
</file>

<file path=customXml/itemProps17.xml><?xml version="1.0" encoding="utf-8"?>
<ds:datastoreItem xmlns:ds="http://schemas.openxmlformats.org/officeDocument/2006/customXml" ds:itemID="{DC30DA7C-D0F5-49C8-A724-5A1E33FE4C4E}">
  <ds:schemaRefs/>
</ds:datastoreItem>
</file>

<file path=customXml/itemProps18.xml><?xml version="1.0" encoding="utf-8"?>
<ds:datastoreItem xmlns:ds="http://schemas.openxmlformats.org/officeDocument/2006/customXml" ds:itemID="{0AA98B88-F3A6-4064-8F5E-8A18731CBC7D}">
  <ds:schemaRefs/>
</ds:datastoreItem>
</file>

<file path=customXml/itemProps19.xml><?xml version="1.0" encoding="utf-8"?>
<ds:datastoreItem xmlns:ds="http://schemas.openxmlformats.org/officeDocument/2006/customXml" ds:itemID="{CD9692D9-CA85-4E51-86F4-9F11E6FADA08}">
  <ds:schemaRefs/>
</ds:datastoreItem>
</file>

<file path=customXml/itemProps20.xml><?xml version="1.0" encoding="utf-8"?>
<ds:datastoreItem xmlns:ds="http://schemas.openxmlformats.org/officeDocument/2006/customXml" ds:itemID="{7F75530C-E106-4FB9-B674-5E7E1A719EF6}">
  <ds:schemaRefs/>
</ds:datastoreItem>
</file>

<file path=customXml/itemProps21.xml><?xml version="1.0" encoding="utf-8"?>
<ds:datastoreItem xmlns:ds="http://schemas.openxmlformats.org/officeDocument/2006/customXml" ds:itemID="{36B249AC-170B-4592-8FF6-B4E93AFB0F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حبيبه ابراهيم احمد القشاشى</dc:creator>
  <cp:lastModifiedBy>حبيبه ابراهيم احمد القشاشى</cp:lastModifiedBy>
  <dcterms:created xsi:type="dcterms:W3CDTF">2025-10-08T09:21:18Z</dcterms:created>
  <dcterms:modified xsi:type="dcterms:W3CDTF">2025-10-15T16:18:06Z</dcterms:modified>
</cp:coreProperties>
</file>